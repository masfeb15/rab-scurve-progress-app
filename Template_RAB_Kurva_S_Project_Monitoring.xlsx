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_PROJECT" sheetId="1" state="visible" r:id="rId1"/>
    <sheet xmlns:r="http://schemas.openxmlformats.org/officeDocument/2006/relationships" name="RAB_BOQ" sheetId="2" state="visible" r:id="rId2"/>
    <sheet xmlns:r="http://schemas.openxmlformats.org/officeDocument/2006/relationships" name="TARGET_KURVA_S" sheetId="3" state="visible" r:id="rId3"/>
    <sheet xmlns:r="http://schemas.openxmlformats.org/officeDocument/2006/relationships" name="PREVIEW_KURVA_S" sheetId="4" state="visible" r:id="rId4"/>
    <sheet xmlns:r="http://schemas.openxmlformats.org/officeDocument/2006/relationships" name="INSTRUK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3A5B"/>
      </patternFill>
    </fill>
    <fill>
      <patternFill patternType="solid">
        <fgColor rgb="00FDE04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1" fillId="2" borderId="1" applyAlignment="1" pivotButton="0" quotePrefix="0" xfId="0">
      <alignment horizontal="center" wrapText="1"/>
    </xf>
    <xf numFmtId="2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Preview Kurva 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'PREVIEW_KURVA_S'!B1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'PREVIEW_KURVA_S'!$A$2:$A$15</f>
            </numRef>
          </cat>
          <val>
            <numRef>
              <f>'PREVIEW_KURVA_S'!$B$2:$B$15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Progress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Arena</author>
  </authors>
  <commentList>
    <comment ref="A1" authorId="0" shapeId="0">
      <text>
        <t>ID unik baris RAB agar import bisa upsert, contoh: NO_SPI-AREA-KODE.</t>
      </text>
    </comment>
    <comment ref="I1" authorId="0" shapeId="0">
      <text>
        <t>Otomatis: total_price / nilai_kontrak x 100. Pastikan nilai_kontrak di INFO_PROJECT benar.</t>
      </text>
    </comment>
  </commentList>
</comments>
</file>

<file path=xl/comments/comment2.xml><?xml version="1.0" encoding="utf-8"?>
<comments xmlns="http://schemas.openxmlformats.org/spreadsheetml/2006/main">
  <authors>
    <author>Arena</author>
  </authors>
  <commentList>
    <comment ref="C1" authorId="0" shapeId="0">
      <text>
        <t>Target progress per periode, bukan kumulatif. Jika Anda hanya punya kumulatif, isi C sama dengan selisih antar minggu.</t>
      </text>
    </comment>
    <comment ref="D1" authorId="0" shapeId="0">
      <text>
        <t>Target kumulatif yang akan masuk progress_targets.planned_percent.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00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rab_boq" displayName="tbl_rab_boq" ref="A1:L301" headerRowCount="1">
  <autoFilter ref="A1:L301"/>
  <tableColumns count="12">
    <tableColumn id="1" name="source_row_id"/>
    <tableColumn id="2" name="area"/>
    <tableColumn id="3" name="code"/>
    <tableColumn id="4" name="description"/>
    <tableColumn id="5" name="unit"/>
    <tableColumn id="6" name="volume"/>
    <tableColumn id="7" name="unit_price"/>
    <tableColumn id="8" name="total_price"/>
    <tableColumn id="9" name="weight_percent"/>
    <tableColumn id="10" name="start_date"/>
    <tableColumn id="11" name="end_date"/>
    <tableColumn id="12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target_kurva_s" displayName="tbl_target_kurva_s" ref="A1:E65" headerRowCount="1">
  <autoFilter ref="A1:E65"/>
  <tableColumns count="5">
    <tableColumn id="1" name="period_no"/>
    <tableColumn id="2" name="period_date"/>
    <tableColumn id="3" name="planned_percent_period"/>
    <tableColumn id="4" name="planned_percent_cumulative"/>
    <tableColumn id="5" name="note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KETERANGAN</t>
        </is>
      </c>
    </row>
    <row r="2">
      <c r="A2" s="2" t="inlineStr">
        <is>
          <t>source_row_id</t>
        </is>
      </c>
      <c r="B2" s="2" t="inlineStr">
        <is>
          <t>11485140-0390/SPI</t>
        </is>
      </c>
      <c r="C2" s="2" t="inlineStr">
        <is>
          <t>ID unik dari Google Sheet monitoring. Disarankan KODE-NO.SPI.</t>
        </is>
      </c>
    </row>
    <row r="3">
      <c r="A3" s="2" t="inlineStr">
        <is>
          <t>kode</t>
        </is>
      </c>
      <c r="B3" s="2" t="inlineStr">
        <is>
          <t>11485140</t>
        </is>
      </c>
      <c r="C3" s="2" t="inlineStr">
        <is>
          <t>Kolom KODE dari sheet PROJECT MONITORING.</t>
        </is>
      </c>
    </row>
    <row r="4">
      <c r="A4" s="2" t="inlineStr">
        <is>
          <t>no_spi</t>
        </is>
      </c>
      <c r="B4" s="2" t="inlineStr">
        <is>
          <t>0390/SPI</t>
        </is>
      </c>
      <c r="C4" s="2" t="inlineStr">
        <is>
          <t>Kolom NO. SPI.</t>
        </is>
      </c>
    </row>
    <row r="5">
      <c r="A5" s="2" t="inlineStr">
        <is>
          <t>bulan_spi</t>
        </is>
      </c>
      <c r="B5" s="2" t="inlineStr">
        <is>
          <t>8 June 26</t>
        </is>
      </c>
      <c r="C5" s="2" t="inlineStr">
        <is>
          <t>Kolom BULAN SPI.</t>
        </is>
      </c>
    </row>
    <row r="6">
      <c r="A6" s="2" t="inlineStr">
        <is>
          <t>tahun_sp</t>
        </is>
      </c>
      <c r="B6" s="2" t="n">
        <v>2026</v>
      </c>
      <c r="C6" s="2" t="inlineStr">
        <is>
          <t>Kolom TAHUN SP.</t>
        </is>
      </c>
    </row>
    <row r="7">
      <c r="A7" s="2" t="inlineStr">
        <is>
          <t>nama_proyek</t>
        </is>
      </c>
      <c r="B7" s="2" t="inlineStr">
        <is>
          <t>RS HARUM SISMA MEDIKA - NC</t>
        </is>
      </c>
      <c r="C7" s="2" t="inlineStr">
        <is>
          <t>Kolom NAMA PROYEK.</t>
        </is>
      </c>
    </row>
    <row r="8">
      <c r="A8" s="2" t="inlineStr">
        <is>
          <t>pekerjaan</t>
        </is>
      </c>
      <c r="B8" s="2" t="inlineStr">
        <is>
          <t>NC</t>
        </is>
      </c>
      <c r="C8" s="2" t="inlineStr">
        <is>
          <t>Kolom PEKERJAAN.</t>
        </is>
      </c>
    </row>
    <row r="9">
      <c r="A9" s="2" t="inlineStr">
        <is>
          <t>jenis</t>
        </is>
      </c>
      <c r="B9" s="2" t="inlineStr">
        <is>
          <t>NC</t>
        </is>
      </c>
      <c r="C9" s="2" t="inlineStr">
        <is>
          <t>Kolom JENIS.</t>
        </is>
      </c>
    </row>
    <row r="10">
      <c r="A10" s="2" t="inlineStr">
        <is>
          <t>jenis2</t>
        </is>
      </c>
      <c r="B10" s="2" t="inlineStr">
        <is>
          <t>PROYEK</t>
        </is>
      </c>
      <c r="C10" s="2" t="inlineStr">
        <is>
          <t>Kolom JENIS2.</t>
        </is>
      </c>
    </row>
    <row r="11">
      <c r="A11" s="2" t="inlineStr">
        <is>
          <t>wilayah</t>
        </is>
      </c>
      <c r="B11" s="2" t="inlineStr">
        <is>
          <t>BARAT</t>
        </is>
      </c>
      <c r="C11" s="2" t="inlineStr">
        <is>
          <t>Kolom WILAYAH.</t>
        </is>
      </c>
    </row>
    <row r="12">
      <c r="A12" s="2" t="inlineStr">
        <is>
          <t>project_area</t>
        </is>
      </c>
      <c r="B12" s="2" t="inlineStr">
        <is>
          <t>BARTEN 1</t>
        </is>
      </c>
      <c r="C12" s="2" t="inlineStr">
        <is>
          <t>Kolom AREA pada monitoring project.</t>
        </is>
      </c>
    </row>
    <row r="13">
      <c r="A13" s="2" t="inlineStr">
        <is>
          <t>rekan_kerja</t>
        </is>
      </c>
      <c r="B13" s="2" t="inlineStr">
        <is>
          <t>SANDANA</t>
        </is>
      </c>
      <c r="C13" s="2" t="inlineStr">
        <is>
          <t>Kolom REKAN KERJA.</t>
        </is>
      </c>
    </row>
    <row r="14">
      <c r="A14" s="2" t="inlineStr">
        <is>
          <t>dok_spk_term_payment</t>
        </is>
      </c>
      <c r="B14" s="2" t="inlineStr">
        <is>
          <t>Progress 30% - dibayarkan</t>
        </is>
      </c>
      <c r="C14" s="2" t="inlineStr">
        <is>
          <t>Kolom DOK SPK / TERM PAYMENT.</t>
        </is>
      </c>
    </row>
    <row r="15">
      <c r="A15" s="2" t="inlineStr">
        <is>
          <t>status</t>
        </is>
      </c>
      <c r="B15" s="2" t="inlineStr">
        <is>
          <t>PROGRESS</t>
        </is>
      </c>
      <c r="C15" s="2" t="inlineStr">
        <is>
          <t>PROGRESS / FINISH / HOLD / CANCEL.</t>
        </is>
      </c>
    </row>
    <row r="16">
      <c r="A16" s="2" t="inlineStr">
        <is>
          <t>sheet_progress_percent</t>
        </is>
      </c>
      <c r="B16" s="2" t="n">
        <v>0</v>
      </c>
      <c r="C16" s="2" t="inlineStr">
        <is>
          <t>Progress global di sheet monitoring, 0-100.</t>
        </is>
      </c>
    </row>
    <row r="17">
      <c r="A17" s="2" t="inlineStr">
        <is>
          <t>start_date</t>
        </is>
      </c>
      <c r="B17" s="2" t="inlineStr">
        <is>
          <t>2026-06-10</t>
        </is>
      </c>
      <c r="C17" s="2" t="inlineStr">
        <is>
          <t>Tanggal mulai format YYYY-MM-DD.</t>
        </is>
      </c>
    </row>
    <row r="18">
      <c r="A18" s="2" t="inlineStr">
        <is>
          <t>end_date</t>
        </is>
      </c>
      <c r="B18" s="2" t="inlineStr">
        <is>
          <t>2026-06-26</t>
        </is>
      </c>
      <c r="C18" s="2" t="inlineStr">
        <is>
          <t>Tanggal selesai format YYYY-MM-DD.</t>
        </is>
      </c>
    </row>
    <row r="19">
      <c r="A19" s="2" t="inlineStr">
        <is>
          <t>duration_days</t>
        </is>
      </c>
      <c r="B19" s="2" t="n">
        <v>17</v>
      </c>
      <c r="C19" s="2" t="inlineStr">
        <is>
          <t>Durasi pekerjaan dalam hari.</t>
        </is>
      </c>
    </row>
    <row r="20">
      <c r="A20" s="2" t="inlineStr">
        <is>
          <t>delay_days</t>
        </is>
      </c>
      <c r="B20" s="2" t="n">
        <v>-1</v>
      </c>
      <c r="C20" s="2" t="inlineStr">
        <is>
          <t>Delay dalam hari. Negatif berarti lebih cepat.</t>
        </is>
      </c>
    </row>
    <row r="21">
      <c r="A21" s="2" t="inlineStr">
        <is>
          <t>pic_sales</t>
        </is>
      </c>
      <c r="B21" s="2" t="inlineStr">
        <is>
          <t>ANNISA</t>
        </is>
      </c>
      <c r="C21" s="2" t="inlineStr">
        <is>
          <t>PIC Sales.</t>
        </is>
      </c>
    </row>
    <row r="22">
      <c r="A22" s="2" t="inlineStr">
        <is>
          <t>pic_teknik</t>
        </is>
      </c>
      <c r="B22" s="3" t="inlineStr"/>
      <c r="C22" s="2" t="inlineStr">
        <is>
          <t>PIC Teknik.</t>
        </is>
      </c>
    </row>
    <row r="23">
      <c r="A23" s="2" t="inlineStr">
        <is>
          <t>nilai_kontrak</t>
        </is>
      </c>
      <c r="B23" s="2" t="n">
        <v>30000000</v>
      </c>
      <c r="C23" s="2" t="inlineStr">
        <is>
          <t>Nilai kontrak project. Akan dipakai sebagai contract_value.</t>
        </is>
      </c>
    </row>
  </sheetData>
  <dataValidations count="3">
    <dataValidation sqref="B14" showDropDown="0" showInputMessage="0" showErrorMessage="0" allowBlank="1" type="list">
      <formula1>"PROGRESS,FINISH,HOLD,CANCEL"</formula1>
    </dataValidation>
    <dataValidation sqref="B9" showDropDown="0" showInputMessage="0" showErrorMessage="0" allowBlank="1" type="list">
      <formula1>"PROYEK,ALKES,RETAIL,SERVICE"</formula1>
    </dataValidation>
    <dataValidation sqref="B10" showDropDown="0" showInputMessage="0" showErrorMessage="0" allowBlank="1" type="list">
      <formula1>"BARAT,TIMUR"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52" customWidth="1" min="4" max="4"/>
    <col width="10" customWidth="1" min="5" max="5"/>
    <col width="14" customWidth="1" min="6" max="6"/>
    <col width="18" customWidth="1" min="7" max="7"/>
    <col width="18" customWidth="1" min="8" max="8"/>
    <col width="16" customWidth="1" min="9" max="9"/>
    <col width="14" customWidth="1" min="10" max="10"/>
    <col width="14" customWidth="1" min="11" max="11"/>
    <col width="34" customWidth="1" min="12" max="12"/>
  </cols>
  <sheetData>
    <row r="1">
      <c r="A1" s="4" t="inlineStr">
        <is>
          <t>source_row_id</t>
        </is>
      </c>
      <c r="B1" s="4" t="inlineStr">
        <is>
          <t>area</t>
        </is>
      </c>
      <c r="C1" s="4" t="inlineStr">
        <is>
          <t>code</t>
        </is>
      </c>
      <c r="D1" s="4" t="inlineStr">
        <is>
          <t>description</t>
        </is>
      </c>
      <c r="E1" s="4" t="inlineStr">
        <is>
          <t>unit</t>
        </is>
      </c>
      <c r="F1" s="4" t="inlineStr">
        <is>
          <t>volume</t>
        </is>
      </c>
      <c r="G1" s="4" t="inlineStr">
        <is>
          <t>unit_price</t>
        </is>
      </c>
      <c r="H1" s="4" t="inlineStr">
        <is>
          <t>total_price</t>
        </is>
      </c>
      <c r="I1" s="4" t="inlineStr">
        <is>
          <t>weight_percent</t>
        </is>
      </c>
      <c r="J1" s="4" t="inlineStr">
        <is>
          <t>start_date</t>
        </is>
      </c>
      <c r="K1" s="4" t="inlineStr">
        <is>
          <t>end_date</t>
        </is>
      </c>
      <c r="L1" s="4" t="inlineStr">
        <is>
          <t>notes</t>
        </is>
      </c>
    </row>
    <row r="2">
      <c r="A2" s="2" t="inlineStr">
        <is>
          <t>RSIBUNDA-OK1-001</t>
        </is>
      </c>
      <c r="B2" s="2" t="inlineStr">
        <is>
          <t>OK 1</t>
        </is>
      </c>
      <c r="C2" s="2" t="inlineStr">
        <is>
          <t>1</t>
        </is>
      </c>
      <c r="D2" s="2" t="inlineStr">
        <is>
          <t>Antibacterial HPL Cladding Wall Panel</t>
        </is>
      </c>
      <c r="E2" s="2" t="inlineStr">
        <is>
          <t>m2</t>
        </is>
      </c>
      <c r="F2" s="5" t="n">
        <v>62.1</v>
      </c>
      <c r="G2" s="3" t="n">
        <v>3724400</v>
      </c>
      <c r="H2" s="3">
        <f>F2*G2</f>
        <v/>
      </c>
      <c r="I2" s="6">
        <f>H2/INFO_PROJECT!$B$22*100</f>
        <v/>
      </c>
      <c r="J2" s="2" t="inlineStr">
        <is>
          <t>2026-06-10</t>
        </is>
      </c>
      <c r="K2" s="2" t="inlineStr">
        <is>
          <t>2026-06-18</t>
        </is>
      </c>
      <c r="L2" s="2" t="inlineStr">
        <is>
          <t>Contoh dari RAB MOT</t>
        </is>
      </c>
    </row>
    <row r="3">
      <c r="A3" s="2" t="inlineStr">
        <is>
          <t>RSIBUNDA-OK1-002</t>
        </is>
      </c>
      <c r="B3" s="2" t="inlineStr">
        <is>
          <t>OK 1</t>
        </is>
      </c>
      <c r="C3" s="2" t="inlineStr">
        <is>
          <t>2</t>
        </is>
      </c>
      <c r="D3" s="2" t="inlineStr">
        <is>
          <t>Glass Cladding Wall Panel</t>
        </is>
      </c>
      <c r="E3" s="2" t="inlineStr">
        <is>
          <t>m2</t>
        </is>
      </c>
      <c r="F3" s="5" t="n">
        <v>9.9</v>
      </c>
      <c r="G3" s="3" t="n">
        <v>5959100</v>
      </c>
      <c r="H3" s="3">
        <f>F3*G3</f>
        <v/>
      </c>
      <c r="I3" s="6">
        <f>H3/INFO_PROJECT!$B$22*100</f>
        <v/>
      </c>
      <c r="J3" s="2" t="inlineStr">
        <is>
          <t>2026-06-12</t>
        </is>
      </c>
      <c r="K3" s="2" t="inlineStr">
        <is>
          <t>2026-06-19</t>
        </is>
      </c>
      <c r="L3" s="2" t="inlineStr"/>
    </row>
    <row r="4">
      <c r="A4" s="2" t="inlineStr">
        <is>
          <t>RSIBUNDA-OK1-003</t>
        </is>
      </c>
      <c r="B4" s="2" t="inlineStr">
        <is>
          <t>OK 1</t>
        </is>
      </c>
      <c r="C4" s="2" t="inlineStr">
        <is>
          <t>3</t>
        </is>
      </c>
      <c r="D4" s="2" t="inlineStr">
        <is>
          <t>Medical Panel Ceiling System</t>
        </is>
      </c>
      <c r="E4" s="2" t="inlineStr">
        <is>
          <t>m2</t>
        </is>
      </c>
      <c r="F4" s="5" t="n">
        <v>43</v>
      </c>
      <c r="G4" s="3" t="n">
        <v>730000</v>
      </c>
      <c r="H4" s="3">
        <f>F4*G4</f>
        <v/>
      </c>
      <c r="I4" s="6">
        <f>H4/INFO_PROJECT!$B$22*100</f>
        <v/>
      </c>
      <c r="J4" s="2" t="inlineStr">
        <is>
          <t>2026-06-15</t>
        </is>
      </c>
      <c r="K4" s="2" t="inlineStr">
        <is>
          <t>2026-06-23</t>
        </is>
      </c>
      <c r="L4" s="2" t="inlineStr"/>
    </row>
    <row r="5">
      <c r="A5" s="2" t="inlineStr">
        <is>
          <t>RSIBUNDA-OK1-004</t>
        </is>
      </c>
      <c r="B5" s="2" t="inlineStr">
        <is>
          <t>OK 1</t>
        </is>
      </c>
      <c r="C5" s="2" t="inlineStr">
        <is>
          <t>4</t>
        </is>
      </c>
      <c r="D5" s="2" t="inlineStr">
        <is>
          <t>Lighting Fixture</t>
        </is>
      </c>
      <c r="E5" s="2" t="inlineStr">
        <is>
          <t>unit</t>
        </is>
      </c>
      <c r="F5" s="5" t="n">
        <v>12</v>
      </c>
      <c r="G5" s="3" t="n">
        <v>1117400</v>
      </c>
      <c r="H5" s="3">
        <f>F5*G5</f>
        <v/>
      </c>
      <c r="I5" s="6">
        <f>H5/INFO_PROJECT!$B$22*100</f>
        <v/>
      </c>
      <c r="J5" s="2" t="inlineStr">
        <is>
          <t>2026-06-20</t>
        </is>
      </c>
      <c r="K5" s="2" t="inlineStr">
        <is>
          <t>2026-06-24</t>
        </is>
      </c>
      <c r="L5" s="2" t="inlineStr"/>
    </row>
    <row r="6">
      <c r="A6" s="2" t="inlineStr">
        <is>
          <t>RSIBUNDA-OK1-005</t>
        </is>
      </c>
      <c r="B6" s="2" t="inlineStr">
        <is>
          <t>OK 1</t>
        </is>
      </c>
      <c r="C6" s="2" t="inlineStr">
        <is>
          <t>5</t>
        </is>
      </c>
      <c r="D6" s="2" t="inlineStr">
        <is>
          <t>Air Tight Sealed Automatic Sliding Door</t>
        </is>
      </c>
      <c r="E6" s="2" t="inlineStr">
        <is>
          <t>unit</t>
        </is>
      </c>
      <c r="F6" s="5" t="n">
        <v>1</v>
      </c>
      <c r="G6" s="3" t="n">
        <v>59590400</v>
      </c>
      <c r="H6" s="3">
        <f>F6*G6</f>
        <v/>
      </c>
      <c r="I6" s="6">
        <f>H6/INFO_PROJECT!$B$22*100</f>
        <v/>
      </c>
      <c r="J6" s="2" t="inlineStr">
        <is>
          <t>2026-06-18</t>
        </is>
      </c>
      <c r="K6" s="2" t="inlineStr">
        <is>
          <t>2026-06-25</t>
        </is>
      </c>
      <c r="L6" s="2" t="inlineStr"/>
    </row>
    <row r="7">
      <c r="A7" s="2" t="inlineStr">
        <is>
          <t>RSIBUNDA-OK1-006</t>
        </is>
      </c>
      <c r="B7" s="2" t="inlineStr">
        <is>
          <t>OK 1</t>
        </is>
      </c>
      <c r="C7" s="2" t="inlineStr">
        <is>
          <t>6</t>
        </is>
      </c>
      <c r="D7" s="2" t="inlineStr">
        <is>
          <t>Electrostatic Conductive Floor System</t>
        </is>
      </c>
      <c r="E7" s="2" t="inlineStr">
        <is>
          <t>m2</t>
        </is>
      </c>
      <c r="F7" s="5" t="n">
        <v>47</v>
      </c>
      <c r="G7" s="3" t="n">
        <v>908800</v>
      </c>
      <c r="H7" s="3">
        <f>F7*G7</f>
        <v/>
      </c>
      <c r="I7" s="6">
        <f>H7/INFO_PROJECT!$B$22*100</f>
        <v/>
      </c>
      <c r="J7" s="2" t="inlineStr">
        <is>
          <t>2026-06-20</t>
        </is>
      </c>
      <c r="K7" s="2" t="inlineStr">
        <is>
          <t>2026-06-26</t>
        </is>
      </c>
      <c r="L7" s="2" t="inlineStr"/>
    </row>
    <row r="8">
      <c r="A8" s="2" t="inlineStr"/>
      <c r="B8" s="2" t="inlineStr"/>
      <c r="C8" s="2" t="inlineStr"/>
      <c r="D8" s="2" t="inlineStr"/>
      <c r="E8" s="2" t="inlineStr"/>
      <c r="F8" s="5" t="n"/>
      <c r="G8" s="3" t="n"/>
      <c r="H8" s="3">
        <f>IF(OR(F8="",G8=""),"",F8*G8)</f>
        <v/>
      </c>
      <c r="I8" s="6">
        <f>IF(H8="","",H8/INFO_PROJECT!$B$22*100)</f>
        <v/>
      </c>
      <c r="J8" s="2" t="inlineStr"/>
      <c r="K8" s="2" t="inlineStr"/>
      <c r="L8" s="2" t="inlineStr"/>
    </row>
    <row r="9">
      <c r="A9" s="2" t="inlineStr"/>
      <c r="B9" s="2" t="inlineStr"/>
      <c r="C9" s="2" t="inlineStr"/>
      <c r="D9" s="2" t="inlineStr"/>
      <c r="E9" s="2" t="inlineStr"/>
      <c r="F9" s="5" t="n"/>
      <c r="G9" s="3" t="n"/>
      <c r="H9" s="3">
        <f>IF(OR(F9="",G9=""),"",F9*G9)</f>
        <v/>
      </c>
      <c r="I9" s="6">
        <f>IF(H9="","",H9/INFO_PROJECT!$B$22*100)</f>
        <v/>
      </c>
      <c r="J9" s="2" t="inlineStr"/>
      <c r="K9" s="2" t="inlineStr"/>
      <c r="L9" s="2" t="inlineStr"/>
    </row>
    <row r="10">
      <c r="A10" s="2" t="inlineStr"/>
      <c r="B10" s="2" t="inlineStr"/>
      <c r="C10" s="2" t="inlineStr"/>
      <c r="D10" s="2" t="inlineStr"/>
      <c r="E10" s="2" t="inlineStr"/>
      <c r="F10" s="5" t="n"/>
      <c r="G10" s="3" t="n"/>
      <c r="H10" s="3">
        <f>IF(OR(F10="",G10=""),"",F10*G10)</f>
        <v/>
      </c>
      <c r="I10" s="6">
        <f>IF(H10="","",H10/INFO_PROJECT!$B$22*100)</f>
        <v/>
      </c>
      <c r="J10" s="2" t="inlineStr"/>
      <c r="K10" s="2" t="inlineStr"/>
      <c r="L10" s="2" t="inlineStr"/>
    </row>
    <row r="11">
      <c r="A11" s="2" t="inlineStr"/>
      <c r="B11" s="2" t="inlineStr"/>
      <c r="C11" s="2" t="inlineStr"/>
      <c r="D11" s="2" t="inlineStr"/>
      <c r="E11" s="2" t="inlineStr"/>
      <c r="F11" s="5" t="n"/>
      <c r="G11" s="3" t="n"/>
      <c r="H11" s="3">
        <f>IF(OR(F11="",G11=""),"",F11*G11)</f>
        <v/>
      </c>
      <c r="I11" s="6">
        <f>IF(H11="","",H11/INFO_PROJECT!$B$22*100)</f>
        <v/>
      </c>
      <c r="J11" s="2" t="inlineStr"/>
      <c r="K11" s="2" t="inlineStr"/>
      <c r="L11" s="2" t="inlineStr"/>
    </row>
    <row r="12">
      <c r="A12" s="2" t="inlineStr"/>
      <c r="B12" s="2" t="inlineStr"/>
      <c r="C12" s="2" t="inlineStr"/>
      <c r="D12" s="2" t="inlineStr"/>
      <c r="E12" s="2" t="inlineStr"/>
      <c r="F12" s="5" t="n"/>
      <c r="G12" s="3" t="n"/>
      <c r="H12" s="3">
        <f>IF(OR(F12="",G12=""),"",F12*G12)</f>
        <v/>
      </c>
      <c r="I12" s="6">
        <f>IF(H12="","",H12/INFO_PROJECT!$B$22*100)</f>
        <v/>
      </c>
      <c r="J12" s="2" t="inlineStr"/>
      <c r="K12" s="2" t="inlineStr"/>
      <c r="L12" s="2" t="inlineStr"/>
    </row>
    <row r="13">
      <c r="A13" s="2" t="inlineStr"/>
      <c r="B13" s="2" t="inlineStr"/>
      <c r="C13" s="2" t="inlineStr"/>
      <c r="D13" s="2" t="inlineStr"/>
      <c r="E13" s="2" t="inlineStr"/>
      <c r="F13" s="5" t="n"/>
      <c r="G13" s="3" t="n"/>
      <c r="H13" s="3">
        <f>IF(OR(F13="",G13=""),"",F13*G13)</f>
        <v/>
      </c>
      <c r="I13" s="6">
        <f>IF(H13="","",H13/INFO_PROJECT!$B$22*100)</f>
        <v/>
      </c>
      <c r="J13" s="2" t="inlineStr"/>
      <c r="K13" s="2" t="inlineStr"/>
      <c r="L13" s="2" t="inlineStr"/>
    </row>
    <row r="14">
      <c r="A14" s="2" t="inlineStr"/>
      <c r="B14" s="2" t="inlineStr"/>
      <c r="C14" s="2" t="inlineStr"/>
      <c r="D14" s="2" t="inlineStr"/>
      <c r="E14" s="2" t="inlineStr"/>
      <c r="F14" s="5" t="n"/>
      <c r="G14" s="3" t="n"/>
      <c r="H14" s="3">
        <f>IF(OR(F14="",G14=""),"",F14*G14)</f>
        <v/>
      </c>
      <c r="I14" s="6">
        <f>IF(H14="","",H14/INFO_PROJECT!$B$22*100)</f>
        <v/>
      </c>
      <c r="J14" s="2" t="inlineStr"/>
      <c r="K14" s="2" t="inlineStr"/>
      <c r="L14" s="2" t="inlineStr"/>
    </row>
    <row r="15">
      <c r="A15" s="2" t="inlineStr"/>
      <c r="B15" s="2" t="inlineStr"/>
      <c r="C15" s="2" t="inlineStr"/>
      <c r="D15" s="2" t="inlineStr"/>
      <c r="E15" s="2" t="inlineStr"/>
      <c r="F15" s="5" t="n"/>
      <c r="G15" s="3" t="n"/>
      <c r="H15" s="3">
        <f>IF(OR(F15="",G15=""),"",F15*G15)</f>
        <v/>
      </c>
      <c r="I15" s="6">
        <f>IF(H15="","",H15/INFO_PROJECT!$B$22*100)</f>
        <v/>
      </c>
      <c r="J15" s="2" t="inlineStr"/>
      <c r="K15" s="2" t="inlineStr"/>
      <c r="L15" s="2" t="inlineStr"/>
    </row>
    <row r="16">
      <c r="A16" s="2" t="inlineStr"/>
      <c r="B16" s="2" t="inlineStr"/>
      <c r="C16" s="2" t="inlineStr"/>
      <c r="D16" s="2" t="inlineStr"/>
      <c r="E16" s="2" t="inlineStr"/>
      <c r="F16" s="5" t="n"/>
      <c r="G16" s="3" t="n"/>
      <c r="H16" s="3">
        <f>IF(OR(F16="",G16=""),"",F16*G16)</f>
        <v/>
      </c>
      <c r="I16" s="6">
        <f>IF(H16="","",H16/INFO_PROJECT!$B$22*100)</f>
        <v/>
      </c>
      <c r="J16" s="2" t="inlineStr"/>
      <c r="K16" s="2" t="inlineStr"/>
      <c r="L16" s="2" t="inlineStr"/>
    </row>
    <row r="17">
      <c r="A17" s="2" t="inlineStr"/>
      <c r="B17" s="2" t="inlineStr"/>
      <c r="C17" s="2" t="inlineStr"/>
      <c r="D17" s="2" t="inlineStr"/>
      <c r="E17" s="2" t="inlineStr"/>
      <c r="F17" s="5" t="n"/>
      <c r="G17" s="3" t="n"/>
      <c r="H17" s="3">
        <f>IF(OR(F17="",G17=""),"",F17*G17)</f>
        <v/>
      </c>
      <c r="I17" s="6">
        <f>IF(H17="","",H17/INFO_PROJECT!$B$22*100)</f>
        <v/>
      </c>
      <c r="J17" s="2" t="inlineStr"/>
      <c r="K17" s="2" t="inlineStr"/>
      <c r="L17" s="2" t="inlineStr"/>
    </row>
    <row r="18">
      <c r="A18" s="2" t="inlineStr"/>
      <c r="B18" s="2" t="inlineStr"/>
      <c r="C18" s="2" t="inlineStr"/>
      <c r="D18" s="2" t="inlineStr"/>
      <c r="E18" s="2" t="inlineStr"/>
      <c r="F18" s="5" t="n"/>
      <c r="G18" s="3" t="n"/>
      <c r="H18" s="3">
        <f>IF(OR(F18="",G18=""),"",F18*G18)</f>
        <v/>
      </c>
      <c r="I18" s="6">
        <f>IF(H18="","",H18/INFO_PROJECT!$B$22*100)</f>
        <v/>
      </c>
      <c r="J18" s="2" t="inlineStr"/>
      <c r="K18" s="2" t="inlineStr"/>
      <c r="L18" s="2" t="inlineStr"/>
    </row>
    <row r="19">
      <c r="A19" s="2" t="inlineStr"/>
      <c r="B19" s="2" t="inlineStr"/>
      <c r="C19" s="2" t="inlineStr"/>
      <c r="D19" s="2" t="inlineStr"/>
      <c r="E19" s="2" t="inlineStr"/>
      <c r="F19" s="5" t="n"/>
      <c r="G19" s="3" t="n"/>
      <c r="H19" s="3">
        <f>IF(OR(F19="",G19=""),"",F19*G19)</f>
        <v/>
      </c>
      <c r="I19" s="6">
        <f>IF(H19="","",H19/INFO_PROJECT!$B$22*100)</f>
        <v/>
      </c>
      <c r="J19" s="2" t="inlineStr"/>
      <c r="K19" s="2" t="inlineStr"/>
      <c r="L19" s="2" t="inlineStr"/>
    </row>
    <row r="20">
      <c r="A20" s="2" t="inlineStr"/>
      <c r="B20" s="2" t="inlineStr"/>
      <c r="C20" s="2" t="inlineStr"/>
      <c r="D20" s="2" t="inlineStr"/>
      <c r="E20" s="2" t="inlineStr"/>
      <c r="F20" s="5" t="n"/>
      <c r="G20" s="3" t="n"/>
      <c r="H20" s="3">
        <f>IF(OR(F20="",G20=""),"",F20*G20)</f>
        <v/>
      </c>
      <c r="I20" s="6">
        <f>IF(H20="","",H20/INFO_PROJECT!$B$22*100)</f>
        <v/>
      </c>
      <c r="J20" s="2" t="inlineStr"/>
      <c r="K20" s="2" t="inlineStr"/>
      <c r="L20" s="2" t="inlineStr"/>
    </row>
    <row r="21">
      <c r="A21" s="2" t="inlineStr"/>
      <c r="B21" s="2" t="inlineStr"/>
      <c r="C21" s="2" t="inlineStr"/>
      <c r="D21" s="2" t="inlineStr"/>
      <c r="E21" s="2" t="inlineStr"/>
      <c r="F21" s="5" t="n"/>
      <c r="G21" s="3" t="n"/>
      <c r="H21" s="3">
        <f>IF(OR(F21="",G21=""),"",F21*G21)</f>
        <v/>
      </c>
      <c r="I21" s="6">
        <f>IF(H21="","",H21/INFO_PROJECT!$B$22*100)</f>
        <v/>
      </c>
      <c r="J21" s="2" t="inlineStr"/>
      <c r="K21" s="2" t="inlineStr"/>
      <c r="L21" s="2" t="inlineStr"/>
    </row>
    <row r="22">
      <c r="A22" s="2" t="inlineStr"/>
      <c r="B22" s="2" t="inlineStr"/>
      <c r="C22" s="2" t="inlineStr"/>
      <c r="D22" s="2" t="inlineStr"/>
      <c r="E22" s="2" t="inlineStr"/>
      <c r="F22" s="5" t="n"/>
      <c r="G22" s="3" t="n"/>
      <c r="H22" s="3">
        <f>IF(OR(F22="",G22=""),"",F22*G22)</f>
        <v/>
      </c>
      <c r="I22" s="6">
        <f>IF(H22="","",H22/INFO_PROJECT!$B$22*100)</f>
        <v/>
      </c>
      <c r="J22" s="2" t="inlineStr"/>
      <c r="K22" s="2" t="inlineStr"/>
      <c r="L22" s="2" t="inlineStr"/>
    </row>
    <row r="23">
      <c r="A23" s="2" t="inlineStr"/>
      <c r="B23" s="2" t="inlineStr"/>
      <c r="C23" s="2" t="inlineStr"/>
      <c r="D23" s="2" t="inlineStr"/>
      <c r="E23" s="2" t="inlineStr"/>
      <c r="F23" s="5" t="n"/>
      <c r="G23" s="3" t="n"/>
      <c r="H23" s="3">
        <f>IF(OR(F23="",G23=""),"",F23*G23)</f>
        <v/>
      </c>
      <c r="I23" s="6">
        <f>IF(H23="","",H23/INFO_PROJECT!$B$22*100)</f>
        <v/>
      </c>
      <c r="J23" s="2" t="inlineStr"/>
      <c r="K23" s="2" t="inlineStr"/>
      <c r="L23" s="2" t="inlineStr"/>
    </row>
    <row r="24">
      <c r="A24" s="2" t="inlineStr"/>
      <c r="B24" s="2" t="inlineStr"/>
      <c r="C24" s="2" t="inlineStr"/>
      <c r="D24" s="2" t="inlineStr"/>
      <c r="E24" s="2" t="inlineStr"/>
      <c r="F24" s="5" t="n"/>
      <c r="G24" s="3" t="n"/>
      <c r="H24" s="3">
        <f>IF(OR(F24="",G24=""),"",F24*G24)</f>
        <v/>
      </c>
      <c r="I24" s="6">
        <f>IF(H24="","",H24/INFO_PROJECT!$B$22*100)</f>
        <v/>
      </c>
      <c r="J24" s="2" t="inlineStr"/>
      <c r="K24" s="2" t="inlineStr"/>
      <c r="L24" s="2" t="inlineStr"/>
    </row>
    <row r="25">
      <c r="A25" s="2" t="inlineStr"/>
      <c r="B25" s="2" t="inlineStr"/>
      <c r="C25" s="2" t="inlineStr"/>
      <c r="D25" s="2" t="inlineStr"/>
      <c r="E25" s="2" t="inlineStr"/>
      <c r="F25" s="5" t="n"/>
      <c r="G25" s="3" t="n"/>
      <c r="H25" s="3">
        <f>IF(OR(F25="",G25=""),"",F25*G25)</f>
        <v/>
      </c>
      <c r="I25" s="6">
        <f>IF(H25="","",H25/INFO_PROJECT!$B$22*100)</f>
        <v/>
      </c>
      <c r="J25" s="2" t="inlineStr"/>
      <c r="K25" s="2" t="inlineStr"/>
      <c r="L25" s="2" t="inlineStr"/>
    </row>
    <row r="26">
      <c r="A26" s="2" t="inlineStr"/>
      <c r="B26" s="2" t="inlineStr"/>
      <c r="C26" s="2" t="inlineStr"/>
      <c r="D26" s="2" t="inlineStr"/>
      <c r="E26" s="2" t="inlineStr"/>
      <c r="F26" s="5" t="n"/>
      <c r="G26" s="3" t="n"/>
      <c r="H26" s="3">
        <f>IF(OR(F26="",G26=""),"",F26*G26)</f>
        <v/>
      </c>
      <c r="I26" s="6">
        <f>IF(H26="","",H26/INFO_PROJECT!$B$22*100)</f>
        <v/>
      </c>
      <c r="J26" s="2" t="inlineStr"/>
      <c r="K26" s="2" t="inlineStr"/>
      <c r="L26" s="2" t="inlineStr"/>
    </row>
    <row r="27">
      <c r="A27" s="2" t="inlineStr"/>
      <c r="B27" s="2" t="inlineStr"/>
      <c r="C27" s="2" t="inlineStr"/>
      <c r="D27" s="2" t="inlineStr"/>
      <c r="E27" s="2" t="inlineStr"/>
      <c r="F27" s="5" t="n"/>
      <c r="G27" s="3" t="n"/>
      <c r="H27" s="3">
        <f>IF(OR(F27="",G27=""),"",F27*G27)</f>
        <v/>
      </c>
      <c r="I27" s="6">
        <f>IF(H27="","",H27/INFO_PROJECT!$B$22*100)</f>
        <v/>
      </c>
      <c r="J27" s="2" t="inlineStr"/>
      <c r="K27" s="2" t="inlineStr"/>
      <c r="L27" s="2" t="inlineStr"/>
    </row>
    <row r="28">
      <c r="A28" s="2" t="inlineStr"/>
      <c r="B28" s="2" t="inlineStr"/>
      <c r="C28" s="2" t="inlineStr"/>
      <c r="D28" s="2" t="inlineStr"/>
      <c r="E28" s="2" t="inlineStr"/>
      <c r="F28" s="5" t="n"/>
      <c r="G28" s="3" t="n"/>
      <c r="H28" s="3">
        <f>IF(OR(F28="",G28=""),"",F28*G28)</f>
        <v/>
      </c>
      <c r="I28" s="6">
        <f>IF(H28="","",H28/INFO_PROJECT!$B$22*100)</f>
        <v/>
      </c>
      <c r="J28" s="2" t="inlineStr"/>
      <c r="K28" s="2" t="inlineStr"/>
      <c r="L28" s="2" t="inlineStr"/>
    </row>
    <row r="29">
      <c r="A29" s="2" t="inlineStr"/>
      <c r="B29" s="2" t="inlineStr"/>
      <c r="C29" s="2" t="inlineStr"/>
      <c r="D29" s="2" t="inlineStr"/>
      <c r="E29" s="2" t="inlineStr"/>
      <c r="F29" s="5" t="n"/>
      <c r="G29" s="3" t="n"/>
      <c r="H29" s="3">
        <f>IF(OR(F29="",G29=""),"",F29*G29)</f>
        <v/>
      </c>
      <c r="I29" s="6">
        <f>IF(H29="","",H29/INFO_PROJECT!$B$22*100)</f>
        <v/>
      </c>
      <c r="J29" s="2" t="inlineStr"/>
      <c r="K29" s="2" t="inlineStr"/>
      <c r="L29" s="2" t="inlineStr"/>
    </row>
    <row r="30">
      <c r="A30" s="2" t="inlineStr"/>
      <c r="B30" s="2" t="inlineStr"/>
      <c r="C30" s="2" t="inlineStr"/>
      <c r="D30" s="2" t="inlineStr"/>
      <c r="E30" s="2" t="inlineStr"/>
      <c r="F30" s="5" t="n"/>
      <c r="G30" s="3" t="n"/>
      <c r="H30" s="3">
        <f>IF(OR(F30="",G30=""),"",F30*G30)</f>
        <v/>
      </c>
      <c r="I30" s="6">
        <f>IF(H30="","",H30/INFO_PROJECT!$B$22*100)</f>
        <v/>
      </c>
      <c r="J30" s="2" t="inlineStr"/>
      <c r="K30" s="2" t="inlineStr"/>
      <c r="L30" s="2" t="inlineStr"/>
    </row>
    <row r="31">
      <c r="A31" s="2" t="inlineStr"/>
      <c r="B31" s="2" t="inlineStr"/>
      <c r="C31" s="2" t="inlineStr"/>
      <c r="D31" s="2" t="inlineStr"/>
      <c r="E31" s="2" t="inlineStr"/>
      <c r="F31" s="5" t="n"/>
      <c r="G31" s="3" t="n"/>
      <c r="H31" s="3">
        <f>IF(OR(F31="",G31=""),"",F31*G31)</f>
        <v/>
      </c>
      <c r="I31" s="6">
        <f>IF(H31="","",H31/INFO_PROJECT!$B$22*100)</f>
        <v/>
      </c>
      <c r="J31" s="2" t="inlineStr"/>
      <c r="K31" s="2" t="inlineStr"/>
      <c r="L31" s="2" t="inlineStr"/>
    </row>
    <row r="32">
      <c r="A32" s="2" t="inlineStr"/>
      <c r="B32" s="2" t="inlineStr"/>
      <c r="C32" s="2" t="inlineStr"/>
      <c r="D32" s="2" t="inlineStr"/>
      <c r="E32" s="2" t="inlineStr"/>
      <c r="F32" s="5" t="n"/>
      <c r="G32" s="3" t="n"/>
      <c r="H32" s="3">
        <f>IF(OR(F32="",G32=""),"",F32*G32)</f>
        <v/>
      </c>
      <c r="I32" s="6">
        <f>IF(H32="","",H32/INFO_PROJECT!$B$22*100)</f>
        <v/>
      </c>
      <c r="J32" s="2" t="inlineStr"/>
      <c r="K32" s="2" t="inlineStr"/>
      <c r="L32" s="2" t="inlineStr"/>
    </row>
    <row r="33">
      <c r="A33" s="2" t="inlineStr"/>
      <c r="B33" s="2" t="inlineStr"/>
      <c r="C33" s="2" t="inlineStr"/>
      <c r="D33" s="2" t="inlineStr"/>
      <c r="E33" s="2" t="inlineStr"/>
      <c r="F33" s="5" t="n"/>
      <c r="G33" s="3" t="n"/>
      <c r="H33" s="3">
        <f>IF(OR(F33="",G33=""),"",F33*G33)</f>
        <v/>
      </c>
      <c r="I33" s="6">
        <f>IF(H33="","",H33/INFO_PROJECT!$B$22*100)</f>
        <v/>
      </c>
      <c r="J33" s="2" t="inlineStr"/>
      <c r="K33" s="2" t="inlineStr"/>
      <c r="L33" s="2" t="inlineStr"/>
    </row>
    <row r="34">
      <c r="A34" s="2" t="inlineStr"/>
      <c r="B34" s="2" t="inlineStr"/>
      <c r="C34" s="2" t="inlineStr"/>
      <c r="D34" s="2" t="inlineStr"/>
      <c r="E34" s="2" t="inlineStr"/>
      <c r="F34" s="5" t="n"/>
      <c r="G34" s="3" t="n"/>
      <c r="H34" s="3">
        <f>IF(OR(F34="",G34=""),"",F34*G34)</f>
        <v/>
      </c>
      <c r="I34" s="6">
        <f>IF(H34="","",H34/INFO_PROJECT!$B$22*100)</f>
        <v/>
      </c>
      <c r="J34" s="2" t="inlineStr"/>
      <c r="K34" s="2" t="inlineStr"/>
      <c r="L34" s="2" t="inlineStr"/>
    </row>
    <row r="35">
      <c r="A35" s="2" t="inlineStr"/>
      <c r="B35" s="2" t="inlineStr"/>
      <c r="C35" s="2" t="inlineStr"/>
      <c r="D35" s="2" t="inlineStr"/>
      <c r="E35" s="2" t="inlineStr"/>
      <c r="F35" s="5" t="n"/>
      <c r="G35" s="3" t="n"/>
      <c r="H35" s="3">
        <f>IF(OR(F35="",G35=""),"",F35*G35)</f>
        <v/>
      </c>
      <c r="I35" s="6">
        <f>IF(H35="","",H35/INFO_PROJECT!$B$22*100)</f>
        <v/>
      </c>
      <c r="J35" s="2" t="inlineStr"/>
      <c r="K35" s="2" t="inlineStr"/>
      <c r="L35" s="2" t="inlineStr"/>
    </row>
    <row r="36">
      <c r="A36" s="2" t="inlineStr"/>
      <c r="B36" s="2" t="inlineStr"/>
      <c r="C36" s="2" t="inlineStr"/>
      <c r="D36" s="2" t="inlineStr"/>
      <c r="E36" s="2" t="inlineStr"/>
      <c r="F36" s="5" t="n"/>
      <c r="G36" s="3" t="n"/>
      <c r="H36" s="3">
        <f>IF(OR(F36="",G36=""),"",F36*G36)</f>
        <v/>
      </c>
      <c r="I36" s="6">
        <f>IF(H36="","",H36/INFO_PROJECT!$B$22*100)</f>
        <v/>
      </c>
      <c r="J36" s="2" t="inlineStr"/>
      <c r="K36" s="2" t="inlineStr"/>
      <c r="L36" s="2" t="inlineStr"/>
    </row>
    <row r="37">
      <c r="A37" s="2" t="inlineStr"/>
      <c r="B37" s="2" t="inlineStr"/>
      <c r="C37" s="2" t="inlineStr"/>
      <c r="D37" s="2" t="inlineStr"/>
      <c r="E37" s="2" t="inlineStr"/>
      <c r="F37" s="5" t="n"/>
      <c r="G37" s="3" t="n"/>
      <c r="H37" s="3">
        <f>IF(OR(F37="",G37=""),"",F37*G37)</f>
        <v/>
      </c>
      <c r="I37" s="6">
        <f>IF(H37="","",H37/INFO_PROJECT!$B$22*100)</f>
        <v/>
      </c>
      <c r="J37" s="2" t="inlineStr"/>
      <c r="K37" s="2" t="inlineStr"/>
      <c r="L37" s="2" t="inlineStr"/>
    </row>
    <row r="38">
      <c r="A38" s="2" t="inlineStr"/>
      <c r="B38" s="2" t="inlineStr"/>
      <c r="C38" s="2" t="inlineStr"/>
      <c r="D38" s="2" t="inlineStr"/>
      <c r="E38" s="2" t="inlineStr"/>
      <c r="F38" s="5" t="n"/>
      <c r="G38" s="3" t="n"/>
      <c r="H38" s="3">
        <f>IF(OR(F38="",G38=""),"",F38*G38)</f>
        <v/>
      </c>
      <c r="I38" s="6">
        <f>IF(H38="","",H38/INFO_PROJECT!$B$22*100)</f>
        <v/>
      </c>
      <c r="J38" s="2" t="inlineStr"/>
      <c r="K38" s="2" t="inlineStr"/>
      <c r="L38" s="2" t="inlineStr"/>
    </row>
    <row r="39">
      <c r="A39" s="2" t="inlineStr"/>
      <c r="B39" s="2" t="inlineStr"/>
      <c r="C39" s="2" t="inlineStr"/>
      <c r="D39" s="2" t="inlineStr"/>
      <c r="E39" s="2" t="inlineStr"/>
      <c r="F39" s="5" t="n"/>
      <c r="G39" s="3" t="n"/>
      <c r="H39" s="3">
        <f>IF(OR(F39="",G39=""),"",F39*G39)</f>
        <v/>
      </c>
      <c r="I39" s="6">
        <f>IF(H39="","",H39/INFO_PROJECT!$B$22*100)</f>
        <v/>
      </c>
      <c r="J39" s="2" t="inlineStr"/>
      <c r="K39" s="2" t="inlineStr"/>
      <c r="L39" s="2" t="inlineStr"/>
    </row>
    <row r="40">
      <c r="A40" s="2" t="inlineStr"/>
      <c r="B40" s="2" t="inlineStr"/>
      <c r="C40" s="2" t="inlineStr"/>
      <c r="D40" s="2" t="inlineStr"/>
      <c r="E40" s="2" t="inlineStr"/>
      <c r="F40" s="5" t="n"/>
      <c r="G40" s="3" t="n"/>
      <c r="H40" s="3">
        <f>IF(OR(F40="",G40=""),"",F40*G40)</f>
        <v/>
      </c>
      <c r="I40" s="6">
        <f>IF(H40="","",H40/INFO_PROJECT!$B$22*100)</f>
        <v/>
      </c>
      <c r="J40" s="2" t="inlineStr"/>
      <c r="K40" s="2" t="inlineStr"/>
      <c r="L40" s="2" t="inlineStr"/>
    </row>
    <row r="41">
      <c r="A41" s="2" t="inlineStr"/>
      <c r="B41" s="2" t="inlineStr"/>
      <c r="C41" s="2" t="inlineStr"/>
      <c r="D41" s="2" t="inlineStr"/>
      <c r="E41" s="2" t="inlineStr"/>
      <c r="F41" s="5" t="n"/>
      <c r="G41" s="3" t="n"/>
      <c r="H41" s="3">
        <f>IF(OR(F41="",G41=""),"",F41*G41)</f>
        <v/>
      </c>
      <c r="I41" s="6">
        <f>IF(H41="","",H41/INFO_PROJECT!$B$22*100)</f>
        <v/>
      </c>
      <c r="J41" s="2" t="inlineStr"/>
      <c r="K41" s="2" t="inlineStr"/>
      <c r="L41" s="2" t="inlineStr"/>
    </row>
    <row r="42">
      <c r="A42" s="2" t="inlineStr"/>
      <c r="B42" s="2" t="inlineStr"/>
      <c r="C42" s="2" t="inlineStr"/>
      <c r="D42" s="2" t="inlineStr"/>
      <c r="E42" s="2" t="inlineStr"/>
      <c r="F42" s="5" t="n"/>
      <c r="G42" s="3" t="n"/>
      <c r="H42" s="3">
        <f>IF(OR(F42="",G42=""),"",F42*G42)</f>
        <v/>
      </c>
      <c r="I42" s="6">
        <f>IF(H42="","",H42/INFO_PROJECT!$B$22*100)</f>
        <v/>
      </c>
      <c r="J42" s="2" t="inlineStr"/>
      <c r="K42" s="2" t="inlineStr"/>
      <c r="L42" s="2" t="inlineStr"/>
    </row>
    <row r="43">
      <c r="A43" s="2" t="inlineStr"/>
      <c r="B43" s="2" t="inlineStr"/>
      <c r="C43" s="2" t="inlineStr"/>
      <c r="D43" s="2" t="inlineStr"/>
      <c r="E43" s="2" t="inlineStr"/>
      <c r="F43" s="5" t="n"/>
      <c r="G43" s="3" t="n"/>
      <c r="H43" s="3">
        <f>IF(OR(F43="",G43=""),"",F43*G43)</f>
        <v/>
      </c>
      <c r="I43" s="6">
        <f>IF(H43="","",H43/INFO_PROJECT!$B$22*100)</f>
        <v/>
      </c>
      <c r="J43" s="2" t="inlineStr"/>
      <c r="K43" s="2" t="inlineStr"/>
      <c r="L43" s="2" t="inlineStr"/>
    </row>
    <row r="44">
      <c r="A44" s="2" t="inlineStr"/>
      <c r="B44" s="2" t="inlineStr"/>
      <c r="C44" s="2" t="inlineStr"/>
      <c r="D44" s="2" t="inlineStr"/>
      <c r="E44" s="2" t="inlineStr"/>
      <c r="F44" s="5" t="n"/>
      <c r="G44" s="3" t="n"/>
      <c r="H44" s="3">
        <f>IF(OR(F44="",G44=""),"",F44*G44)</f>
        <v/>
      </c>
      <c r="I44" s="6">
        <f>IF(H44="","",H44/INFO_PROJECT!$B$22*100)</f>
        <v/>
      </c>
      <c r="J44" s="2" t="inlineStr"/>
      <c r="K44" s="2" t="inlineStr"/>
      <c r="L44" s="2" t="inlineStr"/>
    </row>
    <row r="45">
      <c r="A45" s="2" t="inlineStr"/>
      <c r="B45" s="2" t="inlineStr"/>
      <c r="C45" s="2" t="inlineStr"/>
      <c r="D45" s="2" t="inlineStr"/>
      <c r="E45" s="2" t="inlineStr"/>
      <c r="F45" s="5" t="n"/>
      <c r="G45" s="3" t="n"/>
      <c r="H45" s="3">
        <f>IF(OR(F45="",G45=""),"",F45*G45)</f>
        <v/>
      </c>
      <c r="I45" s="6">
        <f>IF(H45="","",H45/INFO_PROJECT!$B$22*100)</f>
        <v/>
      </c>
      <c r="J45" s="2" t="inlineStr"/>
      <c r="K45" s="2" t="inlineStr"/>
      <c r="L45" s="2" t="inlineStr"/>
    </row>
    <row r="46">
      <c r="A46" s="2" t="inlineStr"/>
      <c r="B46" s="2" t="inlineStr"/>
      <c r="C46" s="2" t="inlineStr"/>
      <c r="D46" s="2" t="inlineStr"/>
      <c r="E46" s="2" t="inlineStr"/>
      <c r="F46" s="5" t="n"/>
      <c r="G46" s="3" t="n"/>
      <c r="H46" s="3">
        <f>IF(OR(F46="",G46=""),"",F46*G46)</f>
        <v/>
      </c>
      <c r="I46" s="6">
        <f>IF(H46="","",H46/INFO_PROJECT!$B$22*100)</f>
        <v/>
      </c>
      <c r="J46" s="2" t="inlineStr"/>
      <c r="K46" s="2" t="inlineStr"/>
      <c r="L46" s="2" t="inlineStr"/>
    </row>
    <row r="47">
      <c r="A47" s="2" t="inlineStr"/>
      <c r="B47" s="2" t="inlineStr"/>
      <c r="C47" s="2" t="inlineStr"/>
      <c r="D47" s="2" t="inlineStr"/>
      <c r="E47" s="2" t="inlineStr"/>
      <c r="F47" s="5" t="n"/>
      <c r="G47" s="3" t="n"/>
      <c r="H47" s="3">
        <f>IF(OR(F47="",G47=""),"",F47*G47)</f>
        <v/>
      </c>
      <c r="I47" s="6">
        <f>IF(H47="","",H47/INFO_PROJECT!$B$22*100)</f>
        <v/>
      </c>
      <c r="J47" s="2" t="inlineStr"/>
      <c r="K47" s="2" t="inlineStr"/>
      <c r="L47" s="2" t="inlineStr"/>
    </row>
    <row r="48">
      <c r="A48" s="2" t="inlineStr"/>
      <c r="B48" s="2" t="inlineStr"/>
      <c r="C48" s="2" t="inlineStr"/>
      <c r="D48" s="2" t="inlineStr"/>
      <c r="E48" s="2" t="inlineStr"/>
      <c r="F48" s="5" t="n"/>
      <c r="G48" s="3" t="n"/>
      <c r="H48" s="3">
        <f>IF(OR(F48="",G48=""),"",F48*G48)</f>
        <v/>
      </c>
      <c r="I48" s="6">
        <f>IF(H48="","",H48/INFO_PROJECT!$B$22*100)</f>
        <v/>
      </c>
      <c r="J48" s="2" t="inlineStr"/>
      <c r="K48" s="2" t="inlineStr"/>
      <c r="L48" s="2" t="inlineStr"/>
    </row>
    <row r="49">
      <c r="A49" s="2" t="inlineStr"/>
      <c r="B49" s="2" t="inlineStr"/>
      <c r="C49" s="2" t="inlineStr"/>
      <c r="D49" s="2" t="inlineStr"/>
      <c r="E49" s="2" t="inlineStr"/>
      <c r="F49" s="5" t="n"/>
      <c r="G49" s="3" t="n"/>
      <c r="H49" s="3">
        <f>IF(OR(F49="",G49=""),"",F49*G49)</f>
        <v/>
      </c>
      <c r="I49" s="6">
        <f>IF(H49="","",H49/INFO_PROJECT!$B$22*100)</f>
        <v/>
      </c>
      <c r="J49" s="2" t="inlineStr"/>
      <c r="K49" s="2" t="inlineStr"/>
      <c r="L49" s="2" t="inlineStr"/>
    </row>
    <row r="50">
      <c r="A50" s="2" t="inlineStr"/>
      <c r="B50" s="2" t="inlineStr"/>
      <c r="C50" s="2" t="inlineStr"/>
      <c r="D50" s="2" t="inlineStr"/>
      <c r="E50" s="2" t="inlineStr"/>
      <c r="F50" s="5" t="n"/>
      <c r="G50" s="3" t="n"/>
      <c r="H50" s="3">
        <f>IF(OR(F50="",G50=""),"",F50*G50)</f>
        <v/>
      </c>
      <c r="I50" s="6">
        <f>IF(H50="","",H50/INFO_PROJECT!$B$22*100)</f>
        <v/>
      </c>
      <c r="J50" s="2" t="inlineStr"/>
      <c r="K50" s="2" t="inlineStr"/>
      <c r="L50" s="2" t="inlineStr"/>
    </row>
    <row r="51">
      <c r="A51" s="2" t="inlineStr"/>
      <c r="B51" s="2" t="inlineStr"/>
      <c r="C51" s="2" t="inlineStr"/>
      <c r="D51" s="2" t="inlineStr"/>
      <c r="E51" s="2" t="inlineStr"/>
      <c r="F51" s="5" t="n"/>
      <c r="G51" s="3" t="n"/>
      <c r="H51" s="3">
        <f>IF(OR(F51="",G51=""),"",F51*G51)</f>
        <v/>
      </c>
      <c r="I51" s="6">
        <f>IF(H51="","",H51/INFO_PROJECT!$B$22*100)</f>
        <v/>
      </c>
      <c r="J51" s="2" t="inlineStr"/>
      <c r="K51" s="2" t="inlineStr"/>
      <c r="L51" s="2" t="inlineStr"/>
    </row>
    <row r="52">
      <c r="A52" s="2" t="inlineStr"/>
      <c r="B52" s="2" t="inlineStr"/>
      <c r="C52" s="2" t="inlineStr"/>
      <c r="D52" s="2" t="inlineStr"/>
      <c r="E52" s="2" t="inlineStr"/>
      <c r="F52" s="5" t="n"/>
      <c r="G52" s="3" t="n"/>
      <c r="H52" s="3">
        <f>IF(OR(F52="",G52=""),"",F52*G52)</f>
        <v/>
      </c>
      <c r="I52" s="6">
        <f>IF(H52="","",H52/INFO_PROJECT!$B$22*100)</f>
        <v/>
      </c>
      <c r="J52" s="2" t="inlineStr"/>
      <c r="K52" s="2" t="inlineStr"/>
      <c r="L52" s="2" t="inlineStr"/>
    </row>
    <row r="53">
      <c r="A53" s="2" t="inlineStr"/>
      <c r="B53" s="2" t="inlineStr"/>
      <c r="C53" s="2" t="inlineStr"/>
      <c r="D53" s="2" t="inlineStr"/>
      <c r="E53" s="2" t="inlineStr"/>
      <c r="F53" s="5" t="n"/>
      <c r="G53" s="3" t="n"/>
      <c r="H53" s="3">
        <f>IF(OR(F53="",G53=""),"",F53*G53)</f>
        <v/>
      </c>
      <c r="I53" s="6">
        <f>IF(H53="","",H53/INFO_PROJECT!$B$22*100)</f>
        <v/>
      </c>
      <c r="J53" s="2" t="inlineStr"/>
      <c r="K53" s="2" t="inlineStr"/>
      <c r="L53" s="2" t="inlineStr"/>
    </row>
    <row r="54">
      <c r="A54" s="2" t="inlineStr"/>
      <c r="B54" s="2" t="inlineStr"/>
      <c r="C54" s="2" t="inlineStr"/>
      <c r="D54" s="2" t="inlineStr"/>
      <c r="E54" s="2" t="inlineStr"/>
      <c r="F54" s="5" t="n"/>
      <c r="G54" s="3" t="n"/>
      <c r="H54" s="3">
        <f>IF(OR(F54="",G54=""),"",F54*G54)</f>
        <v/>
      </c>
      <c r="I54" s="6">
        <f>IF(H54="","",H54/INFO_PROJECT!$B$22*100)</f>
        <v/>
      </c>
      <c r="J54" s="2" t="inlineStr"/>
      <c r="K54" s="2" t="inlineStr"/>
      <c r="L54" s="2" t="inlineStr"/>
    </row>
    <row r="55">
      <c r="A55" s="2" t="inlineStr"/>
      <c r="B55" s="2" t="inlineStr"/>
      <c r="C55" s="2" t="inlineStr"/>
      <c r="D55" s="2" t="inlineStr"/>
      <c r="E55" s="2" t="inlineStr"/>
      <c r="F55" s="5" t="n"/>
      <c r="G55" s="3" t="n"/>
      <c r="H55" s="3">
        <f>IF(OR(F55="",G55=""),"",F55*G55)</f>
        <v/>
      </c>
      <c r="I55" s="6">
        <f>IF(H55="","",H55/INFO_PROJECT!$B$22*100)</f>
        <v/>
      </c>
      <c r="J55" s="2" t="inlineStr"/>
      <c r="K55" s="2" t="inlineStr"/>
      <c r="L55" s="2" t="inlineStr"/>
    </row>
    <row r="56">
      <c r="A56" s="2" t="inlineStr"/>
      <c r="B56" s="2" t="inlineStr"/>
      <c r="C56" s="2" t="inlineStr"/>
      <c r="D56" s="2" t="inlineStr"/>
      <c r="E56" s="2" t="inlineStr"/>
      <c r="F56" s="5" t="n"/>
      <c r="G56" s="3" t="n"/>
      <c r="H56" s="3">
        <f>IF(OR(F56="",G56=""),"",F56*G56)</f>
        <v/>
      </c>
      <c r="I56" s="6">
        <f>IF(H56="","",H56/INFO_PROJECT!$B$22*100)</f>
        <v/>
      </c>
      <c r="J56" s="2" t="inlineStr"/>
      <c r="K56" s="2" t="inlineStr"/>
      <c r="L56" s="2" t="inlineStr"/>
    </row>
    <row r="57">
      <c r="A57" s="2" t="inlineStr"/>
      <c r="B57" s="2" t="inlineStr"/>
      <c r="C57" s="2" t="inlineStr"/>
      <c r="D57" s="2" t="inlineStr"/>
      <c r="E57" s="2" t="inlineStr"/>
      <c r="F57" s="5" t="n"/>
      <c r="G57" s="3" t="n"/>
      <c r="H57" s="3">
        <f>IF(OR(F57="",G57=""),"",F57*G57)</f>
        <v/>
      </c>
      <c r="I57" s="6">
        <f>IF(H57="","",H57/INFO_PROJECT!$B$22*100)</f>
        <v/>
      </c>
      <c r="J57" s="2" t="inlineStr"/>
      <c r="K57" s="2" t="inlineStr"/>
      <c r="L57" s="2" t="inlineStr"/>
    </row>
    <row r="58">
      <c r="A58" s="2" t="inlineStr"/>
      <c r="B58" s="2" t="inlineStr"/>
      <c r="C58" s="2" t="inlineStr"/>
      <c r="D58" s="2" t="inlineStr"/>
      <c r="E58" s="2" t="inlineStr"/>
      <c r="F58" s="5" t="n"/>
      <c r="G58" s="3" t="n"/>
      <c r="H58" s="3">
        <f>IF(OR(F58="",G58=""),"",F58*G58)</f>
        <v/>
      </c>
      <c r="I58" s="6">
        <f>IF(H58="","",H58/INFO_PROJECT!$B$22*100)</f>
        <v/>
      </c>
      <c r="J58" s="2" t="inlineStr"/>
      <c r="K58" s="2" t="inlineStr"/>
      <c r="L58" s="2" t="inlineStr"/>
    </row>
    <row r="59">
      <c r="A59" s="2" t="inlineStr"/>
      <c r="B59" s="2" t="inlineStr"/>
      <c r="C59" s="2" t="inlineStr"/>
      <c r="D59" s="2" t="inlineStr"/>
      <c r="E59" s="2" t="inlineStr"/>
      <c r="F59" s="5" t="n"/>
      <c r="G59" s="3" t="n"/>
      <c r="H59" s="3">
        <f>IF(OR(F59="",G59=""),"",F59*G59)</f>
        <v/>
      </c>
      <c r="I59" s="6">
        <f>IF(H59="","",H59/INFO_PROJECT!$B$22*100)</f>
        <v/>
      </c>
      <c r="J59" s="2" t="inlineStr"/>
      <c r="K59" s="2" t="inlineStr"/>
      <c r="L59" s="2" t="inlineStr"/>
    </row>
    <row r="60">
      <c r="A60" s="2" t="inlineStr"/>
      <c r="B60" s="2" t="inlineStr"/>
      <c r="C60" s="2" t="inlineStr"/>
      <c r="D60" s="2" t="inlineStr"/>
      <c r="E60" s="2" t="inlineStr"/>
      <c r="F60" s="5" t="n"/>
      <c r="G60" s="3" t="n"/>
      <c r="H60" s="3">
        <f>IF(OR(F60="",G60=""),"",F60*G60)</f>
        <v/>
      </c>
      <c r="I60" s="6">
        <f>IF(H60="","",H60/INFO_PROJECT!$B$22*100)</f>
        <v/>
      </c>
      <c r="J60" s="2" t="inlineStr"/>
      <c r="K60" s="2" t="inlineStr"/>
      <c r="L60" s="2" t="inlineStr"/>
    </row>
    <row r="61">
      <c r="A61" s="2" t="inlineStr"/>
      <c r="B61" s="2" t="inlineStr"/>
      <c r="C61" s="2" t="inlineStr"/>
      <c r="D61" s="2" t="inlineStr"/>
      <c r="E61" s="2" t="inlineStr"/>
      <c r="F61" s="5" t="n"/>
      <c r="G61" s="3" t="n"/>
      <c r="H61" s="3">
        <f>IF(OR(F61="",G61=""),"",F61*G61)</f>
        <v/>
      </c>
      <c r="I61" s="6">
        <f>IF(H61="","",H61/INFO_PROJECT!$B$22*100)</f>
        <v/>
      </c>
      <c r="J61" s="2" t="inlineStr"/>
      <c r="K61" s="2" t="inlineStr"/>
      <c r="L61" s="2" t="inlineStr"/>
    </row>
    <row r="62">
      <c r="A62" s="2" t="inlineStr"/>
      <c r="B62" s="2" t="inlineStr"/>
      <c r="C62" s="2" t="inlineStr"/>
      <c r="D62" s="2" t="inlineStr"/>
      <c r="E62" s="2" t="inlineStr"/>
      <c r="F62" s="5" t="n"/>
      <c r="G62" s="3" t="n"/>
      <c r="H62" s="3">
        <f>IF(OR(F62="",G62=""),"",F62*G62)</f>
        <v/>
      </c>
      <c r="I62" s="6">
        <f>IF(H62="","",H62/INFO_PROJECT!$B$22*100)</f>
        <v/>
      </c>
      <c r="J62" s="2" t="inlineStr"/>
      <c r="K62" s="2" t="inlineStr"/>
      <c r="L62" s="2" t="inlineStr"/>
    </row>
    <row r="63">
      <c r="A63" s="2" t="inlineStr"/>
      <c r="B63" s="2" t="inlineStr"/>
      <c r="C63" s="2" t="inlineStr"/>
      <c r="D63" s="2" t="inlineStr"/>
      <c r="E63" s="2" t="inlineStr"/>
      <c r="F63" s="5" t="n"/>
      <c r="G63" s="3" t="n"/>
      <c r="H63" s="3">
        <f>IF(OR(F63="",G63=""),"",F63*G63)</f>
        <v/>
      </c>
      <c r="I63" s="6">
        <f>IF(H63="","",H63/INFO_PROJECT!$B$22*100)</f>
        <v/>
      </c>
      <c r="J63" s="2" t="inlineStr"/>
      <c r="K63" s="2" t="inlineStr"/>
      <c r="L63" s="2" t="inlineStr"/>
    </row>
    <row r="64">
      <c r="A64" s="2" t="inlineStr"/>
      <c r="B64" s="2" t="inlineStr"/>
      <c r="C64" s="2" t="inlineStr"/>
      <c r="D64" s="2" t="inlineStr"/>
      <c r="E64" s="2" t="inlineStr"/>
      <c r="F64" s="5" t="n"/>
      <c r="G64" s="3" t="n"/>
      <c r="H64" s="3">
        <f>IF(OR(F64="",G64=""),"",F64*G64)</f>
        <v/>
      </c>
      <c r="I64" s="6">
        <f>IF(H64="","",H64/INFO_PROJECT!$B$22*100)</f>
        <v/>
      </c>
      <c r="J64" s="2" t="inlineStr"/>
      <c r="K64" s="2" t="inlineStr"/>
      <c r="L64" s="2" t="inlineStr"/>
    </row>
    <row r="65">
      <c r="A65" s="2" t="inlineStr"/>
      <c r="B65" s="2" t="inlineStr"/>
      <c r="C65" s="2" t="inlineStr"/>
      <c r="D65" s="2" t="inlineStr"/>
      <c r="E65" s="2" t="inlineStr"/>
      <c r="F65" s="5" t="n"/>
      <c r="G65" s="3" t="n"/>
      <c r="H65" s="3">
        <f>IF(OR(F65="",G65=""),"",F65*G65)</f>
        <v/>
      </c>
      <c r="I65" s="6">
        <f>IF(H65="","",H65/INFO_PROJECT!$B$22*100)</f>
        <v/>
      </c>
      <c r="J65" s="2" t="inlineStr"/>
      <c r="K65" s="2" t="inlineStr"/>
      <c r="L65" s="2" t="inlineStr"/>
    </row>
    <row r="66">
      <c r="A66" s="2" t="inlineStr"/>
      <c r="B66" s="2" t="inlineStr"/>
      <c r="C66" s="2" t="inlineStr"/>
      <c r="D66" s="2" t="inlineStr"/>
      <c r="E66" s="2" t="inlineStr"/>
      <c r="F66" s="5" t="n"/>
      <c r="G66" s="3" t="n"/>
      <c r="H66" s="3">
        <f>IF(OR(F66="",G66=""),"",F66*G66)</f>
        <v/>
      </c>
      <c r="I66" s="6">
        <f>IF(H66="","",H66/INFO_PROJECT!$B$22*100)</f>
        <v/>
      </c>
      <c r="J66" s="2" t="inlineStr"/>
      <c r="K66" s="2" t="inlineStr"/>
      <c r="L66" s="2" t="inlineStr"/>
    </row>
    <row r="67">
      <c r="A67" s="2" t="inlineStr"/>
      <c r="B67" s="2" t="inlineStr"/>
      <c r="C67" s="2" t="inlineStr"/>
      <c r="D67" s="2" t="inlineStr"/>
      <c r="E67" s="2" t="inlineStr"/>
      <c r="F67" s="5" t="n"/>
      <c r="G67" s="3" t="n"/>
      <c r="H67" s="3">
        <f>IF(OR(F67="",G67=""),"",F67*G67)</f>
        <v/>
      </c>
      <c r="I67" s="6">
        <f>IF(H67="","",H67/INFO_PROJECT!$B$22*100)</f>
        <v/>
      </c>
      <c r="J67" s="2" t="inlineStr"/>
      <c r="K67" s="2" t="inlineStr"/>
      <c r="L67" s="2" t="inlineStr"/>
    </row>
    <row r="68">
      <c r="A68" s="2" t="inlineStr"/>
      <c r="B68" s="2" t="inlineStr"/>
      <c r="C68" s="2" t="inlineStr"/>
      <c r="D68" s="2" t="inlineStr"/>
      <c r="E68" s="2" t="inlineStr"/>
      <c r="F68" s="5" t="n"/>
      <c r="G68" s="3" t="n"/>
      <c r="H68" s="3">
        <f>IF(OR(F68="",G68=""),"",F68*G68)</f>
        <v/>
      </c>
      <c r="I68" s="6">
        <f>IF(H68="","",H68/INFO_PROJECT!$B$22*100)</f>
        <v/>
      </c>
      <c r="J68" s="2" t="inlineStr"/>
      <c r="K68" s="2" t="inlineStr"/>
      <c r="L68" s="2" t="inlineStr"/>
    </row>
    <row r="69">
      <c r="A69" s="2" t="inlineStr"/>
      <c r="B69" s="2" t="inlineStr"/>
      <c r="C69" s="2" t="inlineStr"/>
      <c r="D69" s="2" t="inlineStr"/>
      <c r="E69" s="2" t="inlineStr"/>
      <c r="F69" s="5" t="n"/>
      <c r="G69" s="3" t="n"/>
      <c r="H69" s="3">
        <f>IF(OR(F69="",G69=""),"",F69*G69)</f>
        <v/>
      </c>
      <c r="I69" s="6">
        <f>IF(H69="","",H69/INFO_PROJECT!$B$22*100)</f>
        <v/>
      </c>
      <c r="J69" s="2" t="inlineStr"/>
      <c r="K69" s="2" t="inlineStr"/>
      <c r="L69" s="2" t="inlineStr"/>
    </row>
    <row r="70">
      <c r="A70" s="2" t="inlineStr"/>
      <c r="B70" s="2" t="inlineStr"/>
      <c r="C70" s="2" t="inlineStr"/>
      <c r="D70" s="2" t="inlineStr"/>
      <c r="E70" s="2" t="inlineStr"/>
      <c r="F70" s="5" t="n"/>
      <c r="G70" s="3" t="n"/>
      <c r="H70" s="3">
        <f>IF(OR(F70="",G70=""),"",F70*G70)</f>
        <v/>
      </c>
      <c r="I70" s="6">
        <f>IF(H70="","",H70/INFO_PROJECT!$B$22*100)</f>
        <v/>
      </c>
      <c r="J70" s="2" t="inlineStr"/>
      <c r="K70" s="2" t="inlineStr"/>
      <c r="L70" s="2" t="inlineStr"/>
    </row>
    <row r="71">
      <c r="A71" s="2" t="inlineStr"/>
      <c r="B71" s="2" t="inlineStr"/>
      <c r="C71" s="2" t="inlineStr"/>
      <c r="D71" s="2" t="inlineStr"/>
      <c r="E71" s="2" t="inlineStr"/>
      <c r="F71" s="5" t="n"/>
      <c r="G71" s="3" t="n"/>
      <c r="H71" s="3">
        <f>IF(OR(F71="",G71=""),"",F71*G71)</f>
        <v/>
      </c>
      <c r="I71" s="6">
        <f>IF(H71="","",H71/INFO_PROJECT!$B$22*100)</f>
        <v/>
      </c>
      <c r="J71" s="2" t="inlineStr"/>
      <c r="K71" s="2" t="inlineStr"/>
      <c r="L71" s="2" t="inlineStr"/>
    </row>
    <row r="72">
      <c r="A72" s="2" t="inlineStr"/>
      <c r="B72" s="2" t="inlineStr"/>
      <c r="C72" s="2" t="inlineStr"/>
      <c r="D72" s="2" t="inlineStr"/>
      <c r="E72" s="2" t="inlineStr"/>
      <c r="F72" s="5" t="n"/>
      <c r="G72" s="3" t="n"/>
      <c r="H72" s="3">
        <f>IF(OR(F72="",G72=""),"",F72*G72)</f>
        <v/>
      </c>
      <c r="I72" s="6">
        <f>IF(H72="","",H72/INFO_PROJECT!$B$22*100)</f>
        <v/>
      </c>
      <c r="J72" s="2" t="inlineStr"/>
      <c r="K72" s="2" t="inlineStr"/>
      <c r="L72" s="2" t="inlineStr"/>
    </row>
    <row r="73">
      <c r="A73" s="2" t="inlineStr"/>
      <c r="B73" s="2" t="inlineStr"/>
      <c r="C73" s="2" t="inlineStr"/>
      <c r="D73" s="2" t="inlineStr"/>
      <c r="E73" s="2" t="inlineStr"/>
      <c r="F73" s="5" t="n"/>
      <c r="G73" s="3" t="n"/>
      <c r="H73" s="3">
        <f>IF(OR(F73="",G73=""),"",F73*G73)</f>
        <v/>
      </c>
      <c r="I73" s="6">
        <f>IF(H73="","",H73/INFO_PROJECT!$B$22*100)</f>
        <v/>
      </c>
      <c r="J73" s="2" t="inlineStr"/>
      <c r="K73" s="2" t="inlineStr"/>
      <c r="L73" s="2" t="inlineStr"/>
    </row>
    <row r="74">
      <c r="A74" s="2" t="inlineStr"/>
      <c r="B74" s="2" t="inlineStr"/>
      <c r="C74" s="2" t="inlineStr"/>
      <c r="D74" s="2" t="inlineStr"/>
      <c r="E74" s="2" t="inlineStr"/>
      <c r="F74" s="5" t="n"/>
      <c r="G74" s="3" t="n"/>
      <c r="H74" s="3">
        <f>IF(OR(F74="",G74=""),"",F74*G74)</f>
        <v/>
      </c>
      <c r="I74" s="6">
        <f>IF(H74="","",H74/INFO_PROJECT!$B$22*100)</f>
        <v/>
      </c>
      <c r="J74" s="2" t="inlineStr"/>
      <c r="K74" s="2" t="inlineStr"/>
      <c r="L74" s="2" t="inlineStr"/>
    </row>
    <row r="75">
      <c r="A75" s="2" t="inlineStr"/>
      <c r="B75" s="2" t="inlineStr"/>
      <c r="C75" s="2" t="inlineStr"/>
      <c r="D75" s="2" t="inlineStr"/>
      <c r="E75" s="2" t="inlineStr"/>
      <c r="F75" s="5" t="n"/>
      <c r="G75" s="3" t="n"/>
      <c r="H75" s="3">
        <f>IF(OR(F75="",G75=""),"",F75*G75)</f>
        <v/>
      </c>
      <c r="I75" s="6">
        <f>IF(H75="","",H75/INFO_PROJECT!$B$22*100)</f>
        <v/>
      </c>
      <c r="J75" s="2" t="inlineStr"/>
      <c r="K75" s="2" t="inlineStr"/>
      <c r="L75" s="2" t="inlineStr"/>
    </row>
    <row r="76">
      <c r="A76" s="2" t="inlineStr"/>
      <c r="B76" s="2" t="inlineStr"/>
      <c r="C76" s="2" t="inlineStr"/>
      <c r="D76" s="2" t="inlineStr"/>
      <c r="E76" s="2" t="inlineStr"/>
      <c r="F76" s="5" t="n"/>
      <c r="G76" s="3" t="n"/>
      <c r="H76" s="3">
        <f>IF(OR(F76="",G76=""),"",F76*G76)</f>
        <v/>
      </c>
      <c r="I76" s="6">
        <f>IF(H76="","",H76/INFO_PROJECT!$B$22*100)</f>
        <v/>
      </c>
      <c r="J76" s="2" t="inlineStr"/>
      <c r="K76" s="2" t="inlineStr"/>
      <c r="L76" s="2" t="inlineStr"/>
    </row>
    <row r="77">
      <c r="A77" s="2" t="inlineStr"/>
      <c r="B77" s="2" t="inlineStr"/>
      <c r="C77" s="2" t="inlineStr"/>
      <c r="D77" s="2" t="inlineStr"/>
      <c r="E77" s="2" t="inlineStr"/>
      <c r="F77" s="5" t="n"/>
      <c r="G77" s="3" t="n"/>
      <c r="H77" s="3">
        <f>IF(OR(F77="",G77=""),"",F77*G77)</f>
        <v/>
      </c>
      <c r="I77" s="6">
        <f>IF(H77="","",H77/INFO_PROJECT!$B$22*100)</f>
        <v/>
      </c>
      <c r="J77" s="2" t="inlineStr"/>
      <c r="K77" s="2" t="inlineStr"/>
      <c r="L77" s="2" t="inlineStr"/>
    </row>
    <row r="78">
      <c r="A78" s="2" t="inlineStr"/>
      <c r="B78" s="2" t="inlineStr"/>
      <c r="C78" s="2" t="inlineStr"/>
      <c r="D78" s="2" t="inlineStr"/>
      <c r="E78" s="2" t="inlineStr"/>
      <c r="F78" s="5" t="n"/>
      <c r="G78" s="3" t="n"/>
      <c r="H78" s="3">
        <f>IF(OR(F78="",G78=""),"",F78*G78)</f>
        <v/>
      </c>
      <c r="I78" s="6">
        <f>IF(H78="","",H78/INFO_PROJECT!$B$22*100)</f>
        <v/>
      </c>
      <c r="J78" s="2" t="inlineStr"/>
      <c r="K78" s="2" t="inlineStr"/>
      <c r="L78" s="2" t="inlineStr"/>
    </row>
    <row r="79">
      <c r="A79" s="2" t="inlineStr"/>
      <c r="B79" s="2" t="inlineStr"/>
      <c r="C79" s="2" t="inlineStr"/>
      <c r="D79" s="2" t="inlineStr"/>
      <c r="E79" s="2" t="inlineStr"/>
      <c r="F79" s="5" t="n"/>
      <c r="G79" s="3" t="n"/>
      <c r="H79" s="3">
        <f>IF(OR(F79="",G79=""),"",F79*G79)</f>
        <v/>
      </c>
      <c r="I79" s="6">
        <f>IF(H79="","",H79/INFO_PROJECT!$B$22*100)</f>
        <v/>
      </c>
      <c r="J79" s="2" t="inlineStr"/>
      <c r="K79" s="2" t="inlineStr"/>
      <c r="L79" s="2" t="inlineStr"/>
    </row>
    <row r="80">
      <c r="A80" s="2" t="inlineStr"/>
      <c r="B80" s="2" t="inlineStr"/>
      <c r="C80" s="2" t="inlineStr"/>
      <c r="D80" s="2" t="inlineStr"/>
      <c r="E80" s="2" t="inlineStr"/>
      <c r="F80" s="5" t="n"/>
      <c r="G80" s="3" t="n"/>
      <c r="H80" s="3">
        <f>IF(OR(F80="",G80=""),"",F80*G80)</f>
        <v/>
      </c>
      <c r="I80" s="6">
        <f>IF(H80="","",H80/INFO_PROJECT!$B$22*100)</f>
        <v/>
      </c>
      <c r="J80" s="2" t="inlineStr"/>
      <c r="K80" s="2" t="inlineStr"/>
      <c r="L80" s="2" t="inlineStr"/>
    </row>
    <row r="81">
      <c r="A81" s="2" t="inlineStr"/>
      <c r="B81" s="2" t="inlineStr"/>
      <c r="C81" s="2" t="inlineStr"/>
      <c r="D81" s="2" t="inlineStr"/>
      <c r="E81" s="2" t="inlineStr"/>
      <c r="F81" s="5" t="n"/>
      <c r="G81" s="3" t="n"/>
      <c r="H81" s="3">
        <f>IF(OR(F81="",G81=""),"",F81*G81)</f>
        <v/>
      </c>
      <c r="I81" s="6">
        <f>IF(H81="","",H81/INFO_PROJECT!$B$22*100)</f>
        <v/>
      </c>
      <c r="J81" s="2" t="inlineStr"/>
      <c r="K81" s="2" t="inlineStr"/>
      <c r="L81" s="2" t="inlineStr"/>
    </row>
    <row r="82">
      <c r="A82" s="2" t="inlineStr"/>
      <c r="B82" s="2" t="inlineStr"/>
      <c r="C82" s="2" t="inlineStr"/>
      <c r="D82" s="2" t="inlineStr"/>
      <c r="E82" s="2" t="inlineStr"/>
      <c r="F82" s="5" t="n"/>
      <c r="G82" s="3" t="n"/>
      <c r="H82" s="3">
        <f>IF(OR(F82="",G82=""),"",F82*G82)</f>
        <v/>
      </c>
      <c r="I82" s="6">
        <f>IF(H82="","",H82/INFO_PROJECT!$B$22*100)</f>
        <v/>
      </c>
      <c r="J82" s="2" t="inlineStr"/>
      <c r="K82" s="2" t="inlineStr"/>
      <c r="L82" s="2" t="inlineStr"/>
    </row>
    <row r="83">
      <c r="A83" s="2" t="inlineStr"/>
      <c r="B83" s="2" t="inlineStr"/>
      <c r="C83" s="2" t="inlineStr"/>
      <c r="D83" s="2" t="inlineStr"/>
      <c r="E83" s="2" t="inlineStr"/>
      <c r="F83" s="5" t="n"/>
      <c r="G83" s="3" t="n"/>
      <c r="H83" s="3">
        <f>IF(OR(F83="",G83=""),"",F83*G83)</f>
        <v/>
      </c>
      <c r="I83" s="6">
        <f>IF(H83="","",H83/INFO_PROJECT!$B$22*100)</f>
        <v/>
      </c>
      <c r="J83" s="2" t="inlineStr"/>
      <c r="K83" s="2" t="inlineStr"/>
      <c r="L83" s="2" t="inlineStr"/>
    </row>
    <row r="84">
      <c r="A84" s="2" t="inlineStr"/>
      <c r="B84" s="2" t="inlineStr"/>
      <c r="C84" s="2" t="inlineStr"/>
      <c r="D84" s="2" t="inlineStr"/>
      <c r="E84" s="2" t="inlineStr"/>
      <c r="F84" s="5" t="n"/>
      <c r="G84" s="3" t="n"/>
      <c r="H84" s="3">
        <f>IF(OR(F84="",G84=""),"",F84*G84)</f>
        <v/>
      </c>
      <c r="I84" s="6">
        <f>IF(H84="","",H84/INFO_PROJECT!$B$22*100)</f>
        <v/>
      </c>
      <c r="J84" s="2" t="inlineStr"/>
      <c r="K84" s="2" t="inlineStr"/>
      <c r="L84" s="2" t="inlineStr"/>
    </row>
    <row r="85">
      <c r="A85" s="2" t="inlineStr"/>
      <c r="B85" s="2" t="inlineStr"/>
      <c r="C85" s="2" t="inlineStr"/>
      <c r="D85" s="2" t="inlineStr"/>
      <c r="E85" s="2" t="inlineStr"/>
      <c r="F85" s="5" t="n"/>
      <c r="G85" s="3" t="n"/>
      <c r="H85" s="3">
        <f>IF(OR(F85="",G85=""),"",F85*G85)</f>
        <v/>
      </c>
      <c r="I85" s="6">
        <f>IF(H85="","",H85/INFO_PROJECT!$B$22*100)</f>
        <v/>
      </c>
      <c r="J85" s="2" t="inlineStr"/>
      <c r="K85" s="2" t="inlineStr"/>
      <c r="L85" s="2" t="inlineStr"/>
    </row>
    <row r="86">
      <c r="A86" s="2" t="inlineStr"/>
      <c r="B86" s="2" t="inlineStr"/>
      <c r="C86" s="2" t="inlineStr"/>
      <c r="D86" s="2" t="inlineStr"/>
      <c r="E86" s="2" t="inlineStr"/>
      <c r="F86" s="5" t="n"/>
      <c r="G86" s="3" t="n"/>
      <c r="H86" s="3">
        <f>IF(OR(F86="",G86=""),"",F86*G86)</f>
        <v/>
      </c>
      <c r="I86" s="6">
        <f>IF(H86="","",H86/INFO_PROJECT!$B$22*100)</f>
        <v/>
      </c>
      <c r="J86" s="2" t="inlineStr"/>
      <c r="K86" s="2" t="inlineStr"/>
      <c r="L86" s="2" t="inlineStr"/>
    </row>
    <row r="87">
      <c r="A87" s="2" t="inlineStr"/>
      <c r="B87" s="2" t="inlineStr"/>
      <c r="C87" s="2" t="inlineStr"/>
      <c r="D87" s="2" t="inlineStr"/>
      <c r="E87" s="2" t="inlineStr"/>
      <c r="F87" s="5" t="n"/>
      <c r="G87" s="3" t="n"/>
      <c r="H87" s="3">
        <f>IF(OR(F87="",G87=""),"",F87*G87)</f>
        <v/>
      </c>
      <c r="I87" s="6">
        <f>IF(H87="","",H87/INFO_PROJECT!$B$22*100)</f>
        <v/>
      </c>
      <c r="J87" s="2" t="inlineStr"/>
      <c r="K87" s="2" t="inlineStr"/>
      <c r="L87" s="2" t="inlineStr"/>
    </row>
    <row r="88">
      <c r="A88" s="2" t="inlineStr"/>
      <c r="B88" s="2" t="inlineStr"/>
      <c r="C88" s="2" t="inlineStr"/>
      <c r="D88" s="2" t="inlineStr"/>
      <c r="E88" s="2" t="inlineStr"/>
      <c r="F88" s="5" t="n"/>
      <c r="G88" s="3" t="n"/>
      <c r="H88" s="3">
        <f>IF(OR(F88="",G88=""),"",F88*G88)</f>
        <v/>
      </c>
      <c r="I88" s="6">
        <f>IF(H88="","",H88/INFO_PROJECT!$B$22*100)</f>
        <v/>
      </c>
      <c r="J88" s="2" t="inlineStr"/>
      <c r="K88" s="2" t="inlineStr"/>
      <c r="L88" s="2" t="inlineStr"/>
    </row>
    <row r="89">
      <c r="A89" s="2" t="inlineStr"/>
      <c r="B89" s="2" t="inlineStr"/>
      <c r="C89" s="2" t="inlineStr"/>
      <c r="D89" s="2" t="inlineStr"/>
      <c r="E89" s="2" t="inlineStr"/>
      <c r="F89" s="5" t="n"/>
      <c r="G89" s="3" t="n"/>
      <c r="H89" s="3">
        <f>IF(OR(F89="",G89=""),"",F89*G89)</f>
        <v/>
      </c>
      <c r="I89" s="6">
        <f>IF(H89="","",H89/INFO_PROJECT!$B$22*100)</f>
        <v/>
      </c>
      <c r="J89" s="2" t="inlineStr"/>
      <c r="K89" s="2" t="inlineStr"/>
      <c r="L89" s="2" t="inlineStr"/>
    </row>
    <row r="90">
      <c r="A90" s="2" t="inlineStr"/>
      <c r="B90" s="2" t="inlineStr"/>
      <c r="C90" s="2" t="inlineStr"/>
      <c r="D90" s="2" t="inlineStr"/>
      <c r="E90" s="2" t="inlineStr"/>
      <c r="F90" s="5" t="n"/>
      <c r="G90" s="3" t="n"/>
      <c r="H90" s="3">
        <f>IF(OR(F90="",G90=""),"",F90*G90)</f>
        <v/>
      </c>
      <c r="I90" s="6">
        <f>IF(H90="","",H90/INFO_PROJECT!$B$22*100)</f>
        <v/>
      </c>
      <c r="J90" s="2" t="inlineStr"/>
      <c r="K90" s="2" t="inlineStr"/>
      <c r="L90" s="2" t="inlineStr"/>
    </row>
    <row r="91">
      <c r="A91" s="2" t="inlineStr"/>
      <c r="B91" s="2" t="inlineStr"/>
      <c r="C91" s="2" t="inlineStr"/>
      <c r="D91" s="2" t="inlineStr"/>
      <c r="E91" s="2" t="inlineStr"/>
      <c r="F91" s="5" t="n"/>
      <c r="G91" s="3" t="n"/>
      <c r="H91" s="3">
        <f>IF(OR(F91="",G91=""),"",F91*G91)</f>
        <v/>
      </c>
      <c r="I91" s="6">
        <f>IF(H91="","",H91/INFO_PROJECT!$B$22*100)</f>
        <v/>
      </c>
      <c r="J91" s="2" t="inlineStr"/>
      <c r="K91" s="2" t="inlineStr"/>
      <c r="L91" s="2" t="inlineStr"/>
    </row>
    <row r="92">
      <c r="A92" s="2" t="inlineStr"/>
      <c r="B92" s="2" t="inlineStr"/>
      <c r="C92" s="2" t="inlineStr"/>
      <c r="D92" s="2" t="inlineStr"/>
      <c r="E92" s="2" t="inlineStr"/>
      <c r="F92" s="5" t="n"/>
      <c r="G92" s="3" t="n"/>
      <c r="H92" s="3">
        <f>IF(OR(F92="",G92=""),"",F92*G92)</f>
        <v/>
      </c>
      <c r="I92" s="6">
        <f>IF(H92="","",H92/INFO_PROJECT!$B$22*100)</f>
        <v/>
      </c>
      <c r="J92" s="2" t="inlineStr"/>
      <c r="K92" s="2" t="inlineStr"/>
      <c r="L92" s="2" t="inlineStr"/>
    </row>
    <row r="93">
      <c r="A93" s="2" t="inlineStr"/>
      <c r="B93" s="2" t="inlineStr"/>
      <c r="C93" s="2" t="inlineStr"/>
      <c r="D93" s="2" t="inlineStr"/>
      <c r="E93" s="2" t="inlineStr"/>
      <c r="F93" s="5" t="n"/>
      <c r="G93" s="3" t="n"/>
      <c r="H93" s="3">
        <f>IF(OR(F93="",G93=""),"",F93*G93)</f>
        <v/>
      </c>
      <c r="I93" s="6">
        <f>IF(H93="","",H93/INFO_PROJECT!$B$22*100)</f>
        <v/>
      </c>
      <c r="J93" s="2" t="inlineStr"/>
      <c r="K93" s="2" t="inlineStr"/>
      <c r="L93" s="2" t="inlineStr"/>
    </row>
    <row r="94">
      <c r="A94" s="2" t="inlineStr"/>
      <c r="B94" s="2" t="inlineStr"/>
      <c r="C94" s="2" t="inlineStr"/>
      <c r="D94" s="2" t="inlineStr"/>
      <c r="E94" s="2" t="inlineStr"/>
      <c r="F94" s="5" t="n"/>
      <c r="G94" s="3" t="n"/>
      <c r="H94" s="3">
        <f>IF(OR(F94="",G94=""),"",F94*G94)</f>
        <v/>
      </c>
      <c r="I94" s="6">
        <f>IF(H94="","",H94/INFO_PROJECT!$B$22*100)</f>
        <v/>
      </c>
      <c r="J94" s="2" t="inlineStr"/>
      <c r="K94" s="2" t="inlineStr"/>
      <c r="L94" s="2" t="inlineStr"/>
    </row>
    <row r="95">
      <c r="A95" s="2" t="inlineStr"/>
      <c r="B95" s="2" t="inlineStr"/>
      <c r="C95" s="2" t="inlineStr"/>
      <c r="D95" s="2" t="inlineStr"/>
      <c r="E95" s="2" t="inlineStr"/>
      <c r="F95" s="5" t="n"/>
      <c r="G95" s="3" t="n"/>
      <c r="H95" s="3">
        <f>IF(OR(F95="",G95=""),"",F95*G95)</f>
        <v/>
      </c>
      <c r="I95" s="6">
        <f>IF(H95="","",H95/INFO_PROJECT!$B$22*100)</f>
        <v/>
      </c>
      <c r="J95" s="2" t="inlineStr"/>
      <c r="K95" s="2" t="inlineStr"/>
      <c r="L95" s="2" t="inlineStr"/>
    </row>
    <row r="96">
      <c r="A96" s="2" t="inlineStr"/>
      <c r="B96" s="2" t="inlineStr"/>
      <c r="C96" s="2" t="inlineStr"/>
      <c r="D96" s="2" t="inlineStr"/>
      <c r="E96" s="2" t="inlineStr"/>
      <c r="F96" s="5" t="n"/>
      <c r="G96" s="3" t="n"/>
      <c r="H96" s="3">
        <f>IF(OR(F96="",G96=""),"",F96*G96)</f>
        <v/>
      </c>
      <c r="I96" s="6">
        <f>IF(H96="","",H96/INFO_PROJECT!$B$22*100)</f>
        <v/>
      </c>
      <c r="J96" s="2" t="inlineStr"/>
      <c r="K96" s="2" t="inlineStr"/>
      <c r="L96" s="2" t="inlineStr"/>
    </row>
    <row r="97">
      <c r="A97" s="2" t="inlineStr"/>
      <c r="B97" s="2" t="inlineStr"/>
      <c r="C97" s="2" t="inlineStr"/>
      <c r="D97" s="2" t="inlineStr"/>
      <c r="E97" s="2" t="inlineStr"/>
      <c r="F97" s="5" t="n"/>
      <c r="G97" s="3" t="n"/>
      <c r="H97" s="3">
        <f>IF(OR(F97="",G97=""),"",F97*G97)</f>
        <v/>
      </c>
      <c r="I97" s="6">
        <f>IF(H97="","",H97/INFO_PROJECT!$B$22*100)</f>
        <v/>
      </c>
      <c r="J97" s="2" t="inlineStr"/>
      <c r="K97" s="2" t="inlineStr"/>
      <c r="L97" s="2" t="inlineStr"/>
    </row>
    <row r="98">
      <c r="A98" s="2" t="inlineStr"/>
      <c r="B98" s="2" t="inlineStr"/>
      <c r="C98" s="2" t="inlineStr"/>
      <c r="D98" s="2" t="inlineStr"/>
      <c r="E98" s="2" t="inlineStr"/>
      <c r="F98" s="5" t="n"/>
      <c r="G98" s="3" t="n"/>
      <c r="H98" s="3">
        <f>IF(OR(F98="",G98=""),"",F98*G98)</f>
        <v/>
      </c>
      <c r="I98" s="6">
        <f>IF(H98="","",H98/INFO_PROJECT!$B$22*100)</f>
        <v/>
      </c>
      <c r="J98" s="2" t="inlineStr"/>
      <c r="K98" s="2" t="inlineStr"/>
      <c r="L98" s="2" t="inlineStr"/>
    </row>
    <row r="99">
      <c r="A99" s="2" t="inlineStr"/>
      <c r="B99" s="2" t="inlineStr"/>
      <c r="C99" s="2" t="inlineStr"/>
      <c r="D99" s="2" t="inlineStr"/>
      <c r="E99" s="2" t="inlineStr"/>
      <c r="F99" s="5" t="n"/>
      <c r="G99" s="3" t="n"/>
      <c r="H99" s="3">
        <f>IF(OR(F99="",G99=""),"",F99*G99)</f>
        <v/>
      </c>
      <c r="I99" s="6">
        <f>IF(H99="","",H99/INFO_PROJECT!$B$22*100)</f>
        <v/>
      </c>
      <c r="J99" s="2" t="inlineStr"/>
      <c r="K99" s="2" t="inlineStr"/>
      <c r="L99" s="2" t="inlineStr"/>
    </row>
    <row r="100">
      <c r="A100" s="2" t="inlineStr"/>
      <c r="B100" s="2" t="inlineStr"/>
      <c r="C100" s="2" t="inlineStr"/>
      <c r="D100" s="2" t="inlineStr"/>
      <c r="E100" s="2" t="inlineStr"/>
      <c r="F100" s="5" t="n"/>
      <c r="G100" s="3" t="n"/>
      <c r="H100" s="3">
        <f>IF(OR(F100="",G100=""),"",F100*G100)</f>
        <v/>
      </c>
      <c r="I100" s="6">
        <f>IF(H100="","",H100/INFO_PROJECT!$B$22*100)</f>
        <v/>
      </c>
      <c r="J100" s="2" t="inlineStr"/>
      <c r="K100" s="2" t="inlineStr"/>
      <c r="L100" s="2" t="inlineStr"/>
    </row>
    <row r="101">
      <c r="A101" s="2" t="inlineStr"/>
      <c r="B101" s="2" t="inlineStr"/>
      <c r="C101" s="2" t="inlineStr"/>
      <c r="D101" s="2" t="inlineStr"/>
      <c r="E101" s="2" t="inlineStr"/>
      <c r="F101" s="5" t="n"/>
      <c r="G101" s="3" t="n"/>
      <c r="H101" s="3">
        <f>IF(OR(F101="",G101=""),"",F101*G101)</f>
        <v/>
      </c>
      <c r="I101" s="6">
        <f>IF(H101="","",H101/INFO_PROJECT!$B$22*100)</f>
        <v/>
      </c>
      <c r="J101" s="2" t="inlineStr"/>
      <c r="K101" s="2" t="inlineStr"/>
      <c r="L101" s="2" t="inlineStr"/>
    </row>
    <row r="102">
      <c r="A102" s="2" t="inlineStr"/>
      <c r="B102" s="2" t="inlineStr"/>
      <c r="C102" s="2" t="inlineStr"/>
      <c r="D102" s="2" t="inlineStr"/>
      <c r="E102" s="2" t="inlineStr"/>
      <c r="F102" s="5" t="n"/>
      <c r="G102" s="3" t="n"/>
      <c r="H102" s="3">
        <f>IF(OR(F102="",G102=""),"",F102*G102)</f>
        <v/>
      </c>
      <c r="I102" s="6">
        <f>IF(H102="","",H102/INFO_PROJECT!$B$22*100)</f>
        <v/>
      </c>
      <c r="J102" s="2" t="inlineStr"/>
      <c r="K102" s="2" t="inlineStr"/>
      <c r="L102" s="2" t="inlineStr"/>
    </row>
    <row r="103">
      <c r="A103" s="2" t="inlineStr"/>
      <c r="B103" s="2" t="inlineStr"/>
      <c r="C103" s="2" t="inlineStr"/>
      <c r="D103" s="2" t="inlineStr"/>
      <c r="E103" s="2" t="inlineStr"/>
      <c r="F103" s="5" t="n"/>
      <c r="G103" s="3" t="n"/>
      <c r="H103" s="3">
        <f>IF(OR(F103="",G103=""),"",F103*G103)</f>
        <v/>
      </c>
      <c r="I103" s="6">
        <f>IF(H103="","",H103/INFO_PROJECT!$B$22*100)</f>
        <v/>
      </c>
      <c r="J103" s="2" t="inlineStr"/>
      <c r="K103" s="2" t="inlineStr"/>
      <c r="L103" s="2" t="inlineStr"/>
    </row>
    <row r="104">
      <c r="A104" s="2" t="inlineStr"/>
      <c r="B104" s="2" t="inlineStr"/>
      <c r="C104" s="2" t="inlineStr"/>
      <c r="D104" s="2" t="inlineStr"/>
      <c r="E104" s="2" t="inlineStr"/>
      <c r="F104" s="5" t="n"/>
      <c r="G104" s="3" t="n"/>
      <c r="H104" s="3">
        <f>IF(OR(F104="",G104=""),"",F104*G104)</f>
        <v/>
      </c>
      <c r="I104" s="6">
        <f>IF(H104="","",H104/INFO_PROJECT!$B$22*100)</f>
        <v/>
      </c>
      <c r="J104" s="2" t="inlineStr"/>
      <c r="K104" s="2" t="inlineStr"/>
      <c r="L104" s="2" t="inlineStr"/>
    </row>
    <row r="105">
      <c r="A105" s="2" t="inlineStr"/>
      <c r="B105" s="2" t="inlineStr"/>
      <c r="C105" s="2" t="inlineStr"/>
      <c r="D105" s="2" t="inlineStr"/>
      <c r="E105" s="2" t="inlineStr"/>
      <c r="F105" s="5" t="n"/>
      <c r="G105" s="3" t="n"/>
      <c r="H105" s="3">
        <f>IF(OR(F105="",G105=""),"",F105*G105)</f>
        <v/>
      </c>
      <c r="I105" s="6">
        <f>IF(H105="","",H105/INFO_PROJECT!$B$22*100)</f>
        <v/>
      </c>
      <c r="J105" s="2" t="inlineStr"/>
      <c r="K105" s="2" t="inlineStr"/>
      <c r="L105" s="2" t="inlineStr"/>
    </row>
    <row r="106">
      <c r="A106" s="2" t="inlineStr"/>
      <c r="B106" s="2" t="inlineStr"/>
      <c r="C106" s="2" t="inlineStr"/>
      <c r="D106" s="2" t="inlineStr"/>
      <c r="E106" s="2" t="inlineStr"/>
      <c r="F106" s="5" t="n"/>
      <c r="G106" s="3" t="n"/>
      <c r="H106" s="3">
        <f>IF(OR(F106="",G106=""),"",F106*G106)</f>
        <v/>
      </c>
      <c r="I106" s="6">
        <f>IF(H106="","",H106/INFO_PROJECT!$B$22*100)</f>
        <v/>
      </c>
      <c r="J106" s="2" t="inlineStr"/>
      <c r="K106" s="2" t="inlineStr"/>
      <c r="L106" s="2" t="inlineStr"/>
    </row>
    <row r="107">
      <c r="A107" s="2" t="inlineStr"/>
      <c r="B107" s="2" t="inlineStr"/>
      <c r="C107" s="2" t="inlineStr"/>
      <c r="D107" s="2" t="inlineStr"/>
      <c r="E107" s="2" t="inlineStr"/>
      <c r="F107" s="5" t="n"/>
      <c r="G107" s="3" t="n"/>
      <c r="H107" s="3">
        <f>IF(OR(F107="",G107=""),"",F107*G107)</f>
        <v/>
      </c>
      <c r="I107" s="6">
        <f>IF(H107="","",H107/INFO_PROJECT!$B$22*100)</f>
        <v/>
      </c>
      <c r="J107" s="2" t="inlineStr"/>
      <c r="K107" s="2" t="inlineStr"/>
      <c r="L107" s="2" t="inlineStr"/>
    </row>
    <row r="108">
      <c r="A108" s="2" t="inlineStr"/>
      <c r="B108" s="2" t="inlineStr"/>
      <c r="C108" s="2" t="inlineStr"/>
      <c r="D108" s="2" t="inlineStr"/>
      <c r="E108" s="2" t="inlineStr"/>
      <c r="F108" s="5" t="n"/>
      <c r="G108" s="3" t="n"/>
      <c r="H108" s="3">
        <f>IF(OR(F108="",G108=""),"",F108*G108)</f>
        <v/>
      </c>
      <c r="I108" s="6">
        <f>IF(H108="","",H108/INFO_PROJECT!$B$22*100)</f>
        <v/>
      </c>
      <c r="J108" s="2" t="inlineStr"/>
      <c r="K108" s="2" t="inlineStr"/>
      <c r="L108" s="2" t="inlineStr"/>
    </row>
    <row r="109">
      <c r="A109" s="2" t="inlineStr"/>
      <c r="B109" s="2" t="inlineStr"/>
      <c r="C109" s="2" t="inlineStr"/>
      <c r="D109" s="2" t="inlineStr"/>
      <c r="E109" s="2" t="inlineStr"/>
      <c r="F109" s="5" t="n"/>
      <c r="G109" s="3" t="n"/>
      <c r="H109" s="3">
        <f>IF(OR(F109="",G109=""),"",F109*G109)</f>
        <v/>
      </c>
      <c r="I109" s="6">
        <f>IF(H109="","",H109/INFO_PROJECT!$B$22*100)</f>
        <v/>
      </c>
      <c r="J109" s="2" t="inlineStr"/>
      <c r="K109" s="2" t="inlineStr"/>
      <c r="L109" s="2" t="inlineStr"/>
    </row>
    <row r="110">
      <c r="A110" s="2" t="inlineStr"/>
      <c r="B110" s="2" t="inlineStr"/>
      <c r="C110" s="2" t="inlineStr"/>
      <c r="D110" s="2" t="inlineStr"/>
      <c r="E110" s="2" t="inlineStr"/>
      <c r="F110" s="5" t="n"/>
      <c r="G110" s="3" t="n"/>
      <c r="H110" s="3">
        <f>IF(OR(F110="",G110=""),"",F110*G110)</f>
        <v/>
      </c>
      <c r="I110" s="6">
        <f>IF(H110="","",H110/INFO_PROJECT!$B$22*100)</f>
        <v/>
      </c>
      <c r="J110" s="2" t="inlineStr"/>
      <c r="K110" s="2" t="inlineStr"/>
      <c r="L110" s="2" t="inlineStr"/>
    </row>
    <row r="111">
      <c r="A111" s="2" t="inlineStr"/>
      <c r="B111" s="2" t="inlineStr"/>
      <c r="C111" s="2" t="inlineStr"/>
      <c r="D111" s="2" t="inlineStr"/>
      <c r="E111" s="2" t="inlineStr"/>
      <c r="F111" s="5" t="n"/>
      <c r="G111" s="3" t="n"/>
      <c r="H111" s="3">
        <f>IF(OR(F111="",G111=""),"",F111*G111)</f>
        <v/>
      </c>
      <c r="I111" s="6">
        <f>IF(H111="","",H111/INFO_PROJECT!$B$22*100)</f>
        <v/>
      </c>
      <c r="J111" s="2" t="inlineStr"/>
      <c r="K111" s="2" t="inlineStr"/>
      <c r="L111" s="2" t="inlineStr"/>
    </row>
    <row r="112">
      <c r="A112" s="2" t="inlineStr"/>
      <c r="B112" s="2" t="inlineStr"/>
      <c r="C112" s="2" t="inlineStr"/>
      <c r="D112" s="2" t="inlineStr"/>
      <c r="E112" s="2" t="inlineStr"/>
      <c r="F112" s="5" t="n"/>
      <c r="G112" s="3" t="n"/>
      <c r="H112" s="3">
        <f>IF(OR(F112="",G112=""),"",F112*G112)</f>
        <v/>
      </c>
      <c r="I112" s="6">
        <f>IF(H112="","",H112/INFO_PROJECT!$B$22*100)</f>
        <v/>
      </c>
      <c r="J112" s="2" t="inlineStr"/>
      <c r="K112" s="2" t="inlineStr"/>
      <c r="L112" s="2" t="inlineStr"/>
    </row>
    <row r="113">
      <c r="A113" s="2" t="inlineStr"/>
      <c r="B113" s="2" t="inlineStr"/>
      <c r="C113" s="2" t="inlineStr"/>
      <c r="D113" s="2" t="inlineStr"/>
      <c r="E113" s="2" t="inlineStr"/>
      <c r="F113" s="5" t="n"/>
      <c r="G113" s="3" t="n"/>
      <c r="H113" s="3">
        <f>IF(OR(F113="",G113=""),"",F113*G113)</f>
        <v/>
      </c>
      <c r="I113" s="6">
        <f>IF(H113="","",H113/INFO_PROJECT!$B$22*100)</f>
        <v/>
      </c>
      <c r="J113" s="2" t="inlineStr"/>
      <c r="K113" s="2" t="inlineStr"/>
      <c r="L113" s="2" t="inlineStr"/>
    </row>
    <row r="114">
      <c r="A114" s="2" t="inlineStr"/>
      <c r="B114" s="2" t="inlineStr"/>
      <c r="C114" s="2" t="inlineStr"/>
      <c r="D114" s="2" t="inlineStr"/>
      <c r="E114" s="2" t="inlineStr"/>
      <c r="F114" s="5" t="n"/>
      <c r="G114" s="3" t="n"/>
      <c r="H114" s="3">
        <f>IF(OR(F114="",G114=""),"",F114*G114)</f>
        <v/>
      </c>
      <c r="I114" s="6">
        <f>IF(H114="","",H114/INFO_PROJECT!$B$22*100)</f>
        <v/>
      </c>
      <c r="J114" s="2" t="inlineStr"/>
      <c r="K114" s="2" t="inlineStr"/>
      <c r="L114" s="2" t="inlineStr"/>
    </row>
    <row r="115">
      <c r="A115" s="2" t="inlineStr"/>
      <c r="B115" s="2" t="inlineStr"/>
      <c r="C115" s="2" t="inlineStr"/>
      <c r="D115" s="2" t="inlineStr"/>
      <c r="E115" s="2" t="inlineStr"/>
      <c r="F115" s="5" t="n"/>
      <c r="G115" s="3" t="n"/>
      <c r="H115" s="3">
        <f>IF(OR(F115="",G115=""),"",F115*G115)</f>
        <v/>
      </c>
      <c r="I115" s="6">
        <f>IF(H115="","",H115/INFO_PROJECT!$B$22*100)</f>
        <v/>
      </c>
      <c r="J115" s="2" t="inlineStr"/>
      <c r="K115" s="2" t="inlineStr"/>
      <c r="L115" s="2" t="inlineStr"/>
    </row>
    <row r="116">
      <c r="A116" s="2" t="inlineStr"/>
      <c r="B116" s="2" t="inlineStr"/>
      <c r="C116" s="2" t="inlineStr"/>
      <c r="D116" s="2" t="inlineStr"/>
      <c r="E116" s="2" t="inlineStr"/>
      <c r="F116" s="5" t="n"/>
      <c r="G116" s="3" t="n"/>
      <c r="H116" s="3">
        <f>IF(OR(F116="",G116=""),"",F116*G116)</f>
        <v/>
      </c>
      <c r="I116" s="6">
        <f>IF(H116="","",H116/INFO_PROJECT!$B$22*100)</f>
        <v/>
      </c>
      <c r="J116" s="2" t="inlineStr"/>
      <c r="K116" s="2" t="inlineStr"/>
      <c r="L116" s="2" t="inlineStr"/>
    </row>
    <row r="117">
      <c r="A117" s="2" t="inlineStr"/>
      <c r="B117" s="2" t="inlineStr"/>
      <c r="C117" s="2" t="inlineStr"/>
      <c r="D117" s="2" t="inlineStr"/>
      <c r="E117" s="2" t="inlineStr"/>
      <c r="F117" s="5" t="n"/>
      <c r="G117" s="3" t="n"/>
      <c r="H117" s="3">
        <f>IF(OR(F117="",G117=""),"",F117*G117)</f>
        <v/>
      </c>
      <c r="I117" s="6">
        <f>IF(H117="","",H117/INFO_PROJECT!$B$22*100)</f>
        <v/>
      </c>
      <c r="J117" s="2" t="inlineStr"/>
      <c r="K117" s="2" t="inlineStr"/>
      <c r="L117" s="2" t="inlineStr"/>
    </row>
    <row r="118">
      <c r="A118" s="2" t="inlineStr"/>
      <c r="B118" s="2" t="inlineStr"/>
      <c r="C118" s="2" t="inlineStr"/>
      <c r="D118" s="2" t="inlineStr"/>
      <c r="E118" s="2" t="inlineStr"/>
      <c r="F118" s="5" t="n"/>
      <c r="G118" s="3" t="n"/>
      <c r="H118" s="3">
        <f>IF(OR(F118="",G118=""),"",F118*G118)</f>
        <v/>
      </c>
      <c r="I118" s="6">
        <f>IF(H118="","",H118/INFO_PROJECT!$B$22*100)</f>
        <v/>
      </c>
      <c r="J118" s="2" t="inlineStr"/>
      <c r="K118" s="2" t="inlineStr"/>
      <c r="L118" s="2" t="inlineStr"/>
    </row>
    <row r="119">
      <c r="A119" s="2" t="inlineStr"/>
      <c r="B119" s="2" t="inlineStr"/>
      <c r="C119" s="2" t="inlineStr"/>
      <c r="D119" s="2" t="inlineStr"/>
      <c r="E119" s="2" t="inlineStr"/>
      <c r="F119" s="5" t="n"/>
      <c r="G119" s="3" t="n"/>
      <c r="H119" s="3">
        <f>IF(OR(F119="",G119=""),"",F119*G119)</f>
        <v/>
      </c>
      <c r="I119" s="6">
        <f>IF(H119="","",H119/INFO_PROJECT!$B$22*100)</f>
        <v/>
      </c>
      <c r="J119" s="2" t="inlineStr"/>
      <c r="K119" s="2" t="inlineStr"/>
      <c r="L119" s="2" t="inlineStr"/>
    </row>
    <row r="120">
      <c r="A120" s="2" t="inlineStr"/>
      <c r="B120" s="2" t="inlineStr"/>
      <c r="C120" s="2" t="inlineStr"/>
      <c r="D120" s="2" t="inlineStr"/>
      <c r="E120" s="2" t="inlineStr"/>
      <c r="F120" s="5" t="n"/>
      <c r="G120" s="3" t="n"/>
      <c r="H120" s="3">
        <f>IF(OR(F120="",G120=""),"",F120*G120)</f>
        <v/>
      </c>
      <c r="I120" s="6">
        <f>IF(H120="","",H120/INFO_PROJECT!$B$22*100)</f>
        <v/>
      </c>
      <c r="J120" s="2" t="inlineStr"/>
      <c r="K120" s="2" t="inlineStr"/>
      <c r="L120" s="2" t="inlineStr"/>
    </row>
    <row r="121">
      <c r="A121" s="2" t="inlineStr"/>
      <c r="B121" s="2" t="inlineStr"/>
      <c r="C121" s="2" t="inlineStr"/>
      <c r="D121" s="2" t="inlineStr"/>
      <c r="E121" s="2" t="inlineStr"/>
      <c r="F121" s="5" t="n"/>
      <c r="G121" s="3" t="n"/>
      <c r="H121" s="3">
        <f>IF(OR(F121="",G121=""),"",F121*G121)</f>
        <v/>
      </c>
      <c r="I121" s="6">
        <f>IF(H121="","",H121/INFO_PROJECT!$B$22*100)</f>
        <v/>
      </c>
      <c r="J121" s="2" t="inlineStr"/>
      <c r="K121" s="2" t="inlineStr"/>
      <c r="L121" s="2" t="inlineStr"/>
    </row>
    <row r="122">
      <c r="A122" s="2" t="inlineStr"/>
      <c r="B122" s="2" t="inlineStr"/>
      <c r="C122" s="2" t="inlineStr"/>
      <c r="D122" s="2" t="inlineStr"/>
      <c r="E122" s="2" t="inlineStr"/>
      <c r="F122" s="5" t="n"/>
      <c r="G122" s="3" t="n"/>
      <c r="H122" s="3">
        <f>IF(OR(F122="",G122=""),"",F122*G122)</f>
        <v/>
      </c>
      <c r="I122" s="6">
        <f>IF(H122="","",H122/INFO_PROJECT!$B$22*100)</f>
        <v/>
      </c>
      <c r="J122" s="2" t="inlineStr"/>
      <c r="K122" s="2" t="inlineStr"/>
      <c r="L122" s="2" t="inlineStr"/>
    </row>
    <row r="123">
      <c r="A123" s="2" t="inlineStr"/>
      <c r="B123" s="2" t="inlineStr"/>
      <c r="C123" s="2" t="inlineStr"/>
      <c r="D123" s="2" t="inlineStr"/>
      <c r="E123" s="2" t="inlineStr"/>
      <c r="F123" s="5" t="n"/>
      <c r="G123" s="3" t="n"/>
      <c r="H123" s="3">
        <f>IF(OR(F123="",G123=""),"",F123*G123)</f>
        <v/>
      </c>
      <c r="I123" s="6">
        <f>IF(H123="","",H123/INFO_PROJECT!$B$22*100)</f>
        <v/>
      </c>
      <c r="J123" s="2" t="inlineStr"/>
      <c r="K123" s="2" t="inlineStr"/>
      <c r="L123" s="2" t="inlineStr"/>
    </row>
    <row r="124">
      <c r="A124" s="2" t="inlineStr"/>
      <c r="B124" s="2" t="inlineStr"/>
      <c r="C124" s="2" t="inlineStr"/>
      <c r="D124" s="2" t="inlineStr"/>
      <c r="E124" s="2" t="inlineStr"/>
      <c r="F124" s="5" t="n"/>
      <c r="G124" s="3" t="n"/>
      <c r="H124" s="3">
        <f>IF(OR(F124="",G124=""),"",F124*G124)</f>
        <v/>
      </c>
      <c r="I124" s="6">
        <f>IF(H124="","",H124/INFO_PROJECT!$B$22*100)</f>
        <v/>
      </c>
      <c r="J124" s="2" t="inlineStr"/>
      <c r="K124" s="2" t="inlineStr"/>
      <c r="L124" s="2" t="inlineStr"/>
    </row>
    <row r="125">
      <c r="A125" s="2" t="inlineStr"/>
      <c r="B125" s="2" t="inlineStr"/>
      <c r="C125" s="2" t="inlineStr"/>
      <c r="D125" s="2" t="inlineStr"/>
      <c r="E125" s="2" t="inlineStr"/>
      <c r="F125" s="5" t="n"/>
      <c r="G125" s="3" t="n"/>
      <c r="H125" s="3">
        <f>IF(OR(F125="",G125=""),"",F125*G125)</f>
        <v/>
      </c>
      <c r="I125" s="6">
        <f>IF(H125="","",H125/INFO_PROJECT!$B$22*100)</f>
        <v/>
      </c>
      <c r="J125" s="2" t="inlineStr"/>
      <c r="K125" s="2" t="inlineStr"/>
      <c r="L125" s="2" t="inlineStr"/>
    </row>
    <row r="126">
      <c r="A126" s="2" t="inlineStr"/>
      <c r="B126" s="2" t="inlineStr"/>
      <c r="C126" s="2" t="inlineStr"/>
      <c r="D126" s="2" t="inlineStr"/>
      <c r="E126" s="2" t="inlineStr"/>
      <c r="F126" s="5" t="n"/>
      <c r="G126" s="3" t="n"/>
      <c r="H126" s="3">
        <f>IF(OR(F126="",G126=""),"",F126*G126)</f>
        <v/>
      </c>
      <c r="I126" s="6">
        <f>IF(H126="","",H126/INFO_PROJECT!$B$22*100)</f>
        <v/>
      </c>
      <c r="J126" s="2" t="inlineStr"/>
      <c r="K126" s="2" t="inlineStr"/>
      <c r="L126" s="2" t="inlineStr"/>
    </row>
    <row r="127">
      <c r="A127" s="2" t="inlineStr"/>
      <c r="B127" s="2" t="inlineStr"/>
      <c r="C127" s="2" t="inlineStr"/>
      <c r="D127" s="2" t="inlineStr"/>
      <c r="E127" s="2" t="inlineStr"/>
      <c r="F127" s="5" t="n"/>
      <c r="G127" s="3" t="n"/>
      <c r="H127" s="3">
        <f>IF(OR(F127="",G127=""),"",F127*G127)</f>
        <v/>
      </c>
      <c r="I127" s="6">
        <f>IF(H127="","",H127/INFO_PROJECT!$B$22*100)</f>
        <v/>
      </c>
      <c r="J127" s="2" t="inlineStr"/>
      <c r="K127" s="2" t="inlineStr"/>
      <c r="L127" s="2" t="inlineStr"/>
    </row>
    <row r="128">
      <c r="A128" s="2" t="inlineStr"/>
      <c r="B128" s="2" t="inlineStr"/>
      <c r="C128" s="2" t="inlineStr"/>
      <c r="D128" s="2" t="inlineStr"/>
      <c r="E128" s="2" t="inlineStr"/>
      <c r="F128" s="5" t="n"/>
      <c r="G128" s="3" t="n"/>
      <c r="H128" s="3">
        <f>IF(OR(F128="",G128=""),"",F128*G128)</f>
        <v/>
      </c>
      <c r="I128" s="6">
        <f>IF(H128="","",H128/INFO_PROJECT!$B$22*100)</f>
        <v/>
      </c>
      <c r="J128" s="2" t="inlineStr"/>
      <c r="K128" s="2" t="inlineStr"/>
      <c r="L128" s="2" t="inlineStr"/>
    </row>
    <row r="129">
      <c r="A129" s="2" t="inlineStr"/>
      <c r="B129" s="2" t="inlineStr"/>
      <c r="C129" s="2" t="inlineStr"/>
      <c r="D129" s="2" t="inlineStr"/>
      <c r="E129" s="2" t="inlineStr"/>
      <c r="F129" s="5" t="n"/>
      <c r="G129" s="3" t="n"/>
      <c r="H129" s="3">
        <f>IF(OR(F129="",G129=""),"",F129*G129)</f>
        <v/>
      </c>
      <c r="I129" s="6">
        <f>IF(H129="","",H129/INFO_PROJECT!$B$22*100)</f>
        <v/>
      </c>
      <c r="J129" s="2" t="inlineStr"/>
      <c r="K129" s="2" t="inlineStr"/>
      <c r="L129" s="2" t="inlineStr"/>
    </row>
    <row r="130">
      <c r="A130" s="2" t="inlineStr"/>
      <c r="B130" s="2" t="inlineStr"/>
      <c r="C130" s="2" t="inlineStr"/>
      <c r="D130" s="2" t="inlineStr"/>
      <c r="E130" s="2" t="inlineStr"/>
      <c r="F130" s="5" t="n"/>
      <c r="G130" s="3" t="n"/>
      <c r="H130" s="3">
        <f>IF(OR(F130="",G130=""),"",F130*G130)</f>
        <v/>
      </c>
      <c r="I130" s="6">
        <f>IF(H130="","",H130/INFO_PROJECT!$B$22*100)</f>
        <v/>
      </c>
      <c r="J130" s="2" t="inlineStr"/>
      <c r="K130" s="2" t="inlineStr"/>
      <c r="L130" s="2" t="inlineStr"/>
    </row>
    <row r="131">
      <c r="A131" s="2" t="inlineStr"/>
      <c r="B131" s="2" t="inlineStr"/>
      <c r="C131" s="2" t="inlineStr"/>
      <c r="D131" s="2" t="inlineStr"/>
      <c r="E131" s="2" t="inlineStr"/>
      <c r="F131" s="5" t="n"/>
      <c r="G131" s="3" t="n"/>
      <c r="H131" s="3">
        <f>IF(OR(F131="",G131=""),"",F131*G131)</f>
        <v/>
      </c>
      <c r="I131" s="6">
        <f>IF(H131="","",H131/INFO_PROJECT!$B$22*100)</f>
        <v/>
      </c>
      <c r="J131" s="2" t="inlineStr"/>
      <c r="K131" s="2" t="inlineStr"/>
      <c r="L131" s="2" t="inlineStr"/>
    </row>
    <row r="132">
      <c r="A132" s="2" t="inlineStr"/>
      <c r="B132" s="2" t="inlineStr"/>
      <c r="C132" s="2" t="inlineStr"/>
      <c r="D132" s="2" t="inlineStr"/>
      <c r="E132" s="2" t="inlineStr"/>
      <c r="F132" s="5" t="n"/>
      <c r="G132" s="3" t="n"/>
      <c r="H132" s="3">
        <f>IF(OR(F132="",G132=""),"",F132*G132)</f>
        <v/>
      </c>
      <c r="I132" s="6">
        <f>IF(H132="","",H132/INFO_PROJECT!$B$22*100)</f>
        <v/>
      </c>
      <c r="J132" s="2" t="inlineStr"/>
      <c r="K132" s="2" t="inlineStr"/>
      <c r="L132" s="2" t="inlineStr"/>
    </row>
    <row r="133">
      <c r="A133" s="2" t="inlineStr"/>
      <c r="B133" s="2" t="inlineStr"/>
      <c r="C133" s="2" t="inlineStr"/>
      <c r="D133" s="2" t="inlineStr"/>
      <c r="E133" s="2" t="inlineStr"/>
      <c r="F133" s="5" t="n"/>
      <c r="G133" s="3" t="n"/>
      <c r="H133" s="3">
        <f>IF(OR(F133="",G133=""),"",F133*G133)</f>
        <v/>
      </c>
      <c r="I133" s="6">
        <f>IF(H133="","",H133/INFO_PROJECT!$B$22*100)</f>
        <v/>
      </c>
      <c r="J133" s="2" t="inlineStr"/>
      <c r="K133" s="2" t="inlineStr"/>
      <c r="L133" s="2" t="inlineStr"/>
    </row>
    <row r="134">
      <c r="A134" s="2" t="inlineStr"/>
      <c r="B134" s="2" t="inlineStr"/>
      <c r="C134" s="2" t="inlineStr"/>
      <c r="D134" s="2" t="inlineStr"/>
      <c r="E134" s="2" t="inlineStr"/>
      <c r="F134" s="5" t="n"/>
      <c r="G134" s="3" t="n"/>
      <c r="H134" s="3">
        <f>IF(OR(F134="",G134=""),"",F134*G134)</f>
        <v/>
      </c>
      <c r="I134" s="6">
        <f>IF(H134="","",H134/INFO_PROJECT!$B$22*100)</f>
        <v/>
      </c>
      <c r="J134" s="2" t="inlineStr"/>
      <c r="K134" s="2" t="inlineStr"/>
      <c r="L134" s="2" t="inlineStr"/>
    </row>
    <row r="135">
      <c r="A135" s="2" t="inlineStr"/>
      <c r="B135" s="2" t="inlineStr"/>
      <c r="C135" s="2" t="inlineStr"/>
      <c r="D135" s="2" t="inlineStr"/>
      <c r="E135" s="2" t="inlineStr"/>
      <c r="F135" s="5" t="n"/>
      <c r="G135" s="3" t="n"/>
      <c r="H135" s="3">
        <f>IF(OR(F135="",G135=""),"",F135*G135)</f>
        <v/>
      </c>
      <c r="I135" s="6">
        <f>IF(H135="","",H135/INFO_PROJECT!$B$22*100)</f>
        <v/>
      </c>
      <c r="J135" s="2" t="inlineStr"/>
      <c r="K135" s="2" t="inlineStr"/>
      <c r="L135" s="2" t="inlineStr"/>
    </row>
    <row r="136">
      <c r="A136" s="2" t="inlineStr"/>
      <c r="B136" s="2" t="inlineStr"/>
      <c r="C136" s="2" t="inlineStr"/>
      <c r="D136" s="2" t="inlineStr"/>
      <c r="E136" s="2" t="inlineStr"/>
      <c r="F136" s="5" t="n"/>
      <c r="G136" s="3" t="n"/>
      <c r="H136" s="3">
        <f>IF(OR(F136="",G136=""),"",F136*G136)</f>
        <v/>
      </c>
      <c r="I136" s="6">
        <f>IF(H136="","",H136/INFO_PROJECT!$B$22*100)</f>
        <v/>
      </c>
      <c r="J136" s="2" t="inlineStr"/>
      <c r="K136" s="2" t="inlineStr"/>
      <c r="L136" s="2" t="inlineStr"/>
    </row>
    <row r="137">
      <c r="A137" s="2" t="inlineStr"/>
      <c r="B137" s="2" t="inlineStr"/>
      <c r="C137" s="2" t="inlineStr"/>
      <c r="D137" s="2" t="inlineStr"/>
      <c r="E137" s="2" t="inlineStr"/>
      <c r="F137" s="5" t="n"/>
      <c r="G137" s="3" t="n"/>
      <c r="H137" s="3">
        <f>IF(OR(F137="",G137=""),"",F137*G137)</f>
        <v/>
      </c>
      <c r="I137" s="6">
        <f>IF(H137="","",H137/INFO_PROJECT!$B$22*100)</f>
        <v/>
      </c>
      <c r="J137" s="2" t="inlineStr"/>
      <c r="K137" s="2" t="inlineStr"/>
      <c r="L137" s="2" t="inlineStr"/>
    </row>
    <row r="138">
      <c r="A138" s="2" t="inlineStr"/>
      <c r="B138" s="2" t="inlineStr"/>
      <c r="C138" s="2" t="inlineStr"/>
      <c r="D138" s="2" t="inlineStr"/>
      <c r="E138" s="2" t="inlineStr"/>
      <c r="F138" s="5" t="n"/>
      <c r="G138" s="3" t="n"/>
      <c r="H138" s="3">
        <f>IF(OR(F138="",G138=""),"",F138*G138)</f>
        <v/>
      </c>
      <c r="I138" s="6">
        <f>IF(H138="","",H138/INFO_PROJECT!$B$22*100)</f>
        <v/>
      </c>
      <c r="J138" s="2" t="inlineStr"/>
      <c r="K138" s="2" t="inlineStr"/>
      <c r="L138" s="2" t="inlineStr"/>
    </row>
    <row r="139">
      <c r="A139" s="2" t="inlineStr"/>
      <c r="B139" s="2" t="inlineStr"/>
      <c r="C139" s="2" t="inlineStr"/>
      <c r="D139" s="2" t="inlineStr"/>
      <c r="E139" s="2" t="inlineStr"/>
      <c r="F139" s="5" t="n"/>
      <c r="G139" s="3" t="n"/>
      <c r="H139" s="3">
        <f>IF(OR(F139="",G139=""),"",F139*G139)</f>
        <v/>
      </c>
      <c r="I139" s="6">
        <f>IF(H139="","",H139/INFO_PROJECT!$B$22*100)</f>
        <v/>
      </c>
      <c r="J139" s="2" t="inlineStr"/>
      <c r="K139" s="2" t="inlineStr"/>
      <c r="L139" s="2" t="inlineStr"/>
    </row>
    <row r="140">
      <c r="A140" s="2" t="inlineStr"/>
      <c r="B140" s="2" t="inlineStr"/>
      <c r="C140" s="2" t="inlineStr"/>
      <c r="D140" s="2" t="inlineStr"/>
      <c r="E140" s="2" t="inlineStr"/>
      <c r="F140" s="5" t="n"/>
      <c r="G140" s="3" t="n"/>
      <c r="H140" s="3">
        <f>IF(OR(F140="",G140=""),"",F140*G140)</f>
        <v/>
      </c>
      <c r="I140" s="6">
        <f>IF(H140="","",H140/INFO_PROJECT!$B$22*100)</f>
        <v/>
      </c>
      <c r="J140" s="2" t="inlineStr"/>
      <c r="K140" s="2" t="inlineStr"/>
      <c r="L140" s="2" t="inlineStr"/>
    </row>
    <row r="141">
      <c r="A141" s="2" t="inlineStr"/>
      <c r="B141" s="2" t="inlineStr"/>
      <c r="C141" s="2" t="inlineStr"/>
      <c r="D141" s="2" t="inlineStr"/>
      <c r="E141" s="2" t="inlineStr"/>
      <c r="F141" s="5" t="n"/>
      <c r="G141" s="3" t="n"/>
      <c r="H141" s="3">
        <f>IF(OR(F141="",G141=""),"",F141*G141)</f>
        <v/>
      </c>
      <c r="I141" s="6">
        <f>IF(H141="","",H141/INFO_PROJECT!$B$22*100)</f>
        <v/>
      </c>
      <c r="J141" s="2" t="inlineStr"/>
      <c r="K141" s="2" t="inlineStr"/>
      <c r="L141" s="2" t="inlineStr"/>
    </row>
    <row r="142">
      <c r="A142" s="2" t="inlineStr"/>
      <c r="B142" s="2" t="inlineStr"/>
      <c r="C142" s="2" t="inlineStr"/>
      <c r="D142" s="2" t="inlineStr"/>
      <c r="E142" s="2" t="inlineStr"/>
      <c r="F142" s="5" t="n"/>
      <c r="G142" s="3" t="n"/>
      <c r="H142" s="3">
        <f>IF(OR(F142="",G142=""),"",F142*G142)</f>
        <v/>
      </c>
      <c r="I142" s="6">
        <f>IF(H142="","",H142/INFO_PROJECT!$B$22*100)</f>
        <v/>
      </c>
      <c r="J142" s="2" t="inlineStr"/>
      <c r="K142" s="2" t="inlineStr"/>
      <c r="L142" s="2" t="inlineStr"/>
    </row>
    <row r="143">
      <c r="A143" s="2" t="inlineStr"/>
      <c r="B143" s="2" t="inlineStr"/>
      <c r="C143" s="2" t="inlineStr"/>
      <c r="D143" s="2" t="inlineStr"/>
      <c r="E143" s="2" t="inlineStr"/>
      <c r="F143" s="5" t="n"/>
      <c r="G143" s="3" t="n"/>
      <c r="H143" s="3">
        <f>IF(OR(F143="",G143=""),"",F143*G143)</f>
        <v/>
      </c>
      <c r="I143" s="6">
        <f>IF(H143="","",H143/INFO_PROJECT!$B$22*100)</f>
        <v/>
      </c>
      <c r="J143" s="2" t="inlineStr"/>
      <c r="K143" s="2" t="inlineStr"/>
      <c r="L143" s="2" t="inlineStr"/>
    </row>
    <row r="144">
      <c r="A144" s="2" t="inlineStr"/>
      <c r="B144" s="2" t="inlineStr"/>
      <c r="C144" s="2" t="inlineStr"/>
      <c r="D144" s="2" t="inlineStr"/>
      <c r="E144" s="2" t="inlineStr"/>
      <c r="F144" s="5" t="n"/>
      <c r="G144" s="3" t="n"/>
      <c r="H144" s="3">
        <f>IF(OR(F144="",G144=""),"",F144*G144)</f>
        <v/>
      </c>
      <c r="I144" s="6">
        <f>IF(H144="","",H144/INFO_PROJECT!$B$22*100)</f>
        <v/>
      </c>
      <c r="J144" s="2" t="inlineStr"/>
      <c r="K144" s="2" t="inlineStr"/>
      <c r="L144" s="2" t="inlineStr"/>
    </row>
    <row r="145">
      <c r="A145" s="2" t="inlineStr"/>
      <c r="B145" s="2" t="inlineStr"/>
      <c r="C145" s="2" t="inlineStr"/>
      <c r="D145" s="2" t="inlineStr"/>
      <c r="E145" s="2" t="inlineStr"/>
      <c r="F145" s="5" t="n"/>
      <c r="G145" s="3" t="n"/>
      <c r="H145" s="3">
        <f>IF(OR(F145="",G145=""),"",F145*G145)</f>
        <v/>
      </c>
      <c r="I145" s="6">
        <f>IF(H145="","",H145/INFO_PROJECT!$B$22*100)</f>
        <v/>
      </c>
      <c r="J145" s="2" t="inlineStr"/>
      <c r="K145" s="2" t="inlineStr"/>
      <c r="L145" s="2" t="inlineStr"/>
    </row>
    <row r="146">
      <c r="A146" s="2" t="inlineStr"/>
      <c r="B146" s="2" t="inlineStr"/>
      <c r="C146" s="2" t="inlineStr"/>
      <c r="D146" s="2" t="inlineStr"/>
      <c r="E146" s="2" t="inlineStr"/>
      <c r="F146" s="5" t="n"/>
      <c r="G146" s="3" t="n"/>
      <c r="H146" s="3">
        <f>IF(OR(F146="",G146=""),"",F146*G146)</f>
        <v/>
      </c>
      <c r="I146" s="6">
        <f>IF(H146="","",H146/INFO_PROJECT!$B$22*100)</f>
        <v/>
      </c>
      <c r="J146" s="2" t="inlineStr"/>
      <c r="K146" s="2" t="inlineStr"/>
      <c r="L146" s="2" t="inlineStr"/>
    </row>
    <row r="147">
      <c r="A147" s="2" t="inlineStr"/>
      <c r="B147" s="2" t="inlineStr"/>
      <c r="C147" s="2" t="inlineStr"/>
      <c r="D147" s="2" t="inlineStr"/>
      <c r="E147" s="2" t="inlineStr"/>
      <c r="F147" s="5" t="n"/>
      <c r="G147" s="3" t="n"/>
      <c r="H147" s="3">
        <f>IF(OR(F147="",G147=""),"",F147*G147)</f>
        <v/>
      </c>
      <c r="I147" s="6">
        <f>IF(H147="","",H147/INFO_PROJECT!$B$22*100)</f>
        <v/>
      </c>
      <c r="J147" s="2" t="inlineStr"/>
      <c r="K147" s="2" t="inlineStr"/>
      <c r="L147" s="2" t="inlineStr"/>
    </row>
    <row r="148">
      <c r="A148" s="2" t="inlineStr"/>
      <c r="B148" s="2" t="inlineStr"/>
      <c r="C148" s="2" t="inlineStr"/>
      <c r="D148" s="2" t="inlineStr"/>
      <c r="E148" s="2" t="inlineStr"/>
      <c r="F148" s="5" t="n"/>
      <c r="G148" s="3" t="n"/>
      <c r="H148" s="3">
        <f>IF(OR(F148="",G148=""),"",F148*G148)</f>
        <v/>
      </c>
      <c r="I148" s="6">
        <f>IF(H148="","",H148/INFO_PROJECT!$B$22*100)</f>
        <v/>
      </c>
      <c r="J148" s="2" t="inlineStr"/>
      <c r="K148" s="2" t="inlineStr"/>
      <c r="L148" s="2" t="inlineStr"/>
    </row>
    <row r="149">
      <c r="A149" s="2" t="inlineStr"/>
      <c r="B149" s="2" t="inlineStr"/>
      <c r="C149" s="2" t="inlineStr"/>
      <c r="D149" s="2" t="inlineStr"/>
      <c r="E149" s="2" t="inlineStr"/>
      <c r="F149" s="5" t="n"/>
      <c r="G149" s="3" t="n"/>
      <c r="H149" s="3">
        <f>IF(OR(F149="",G149=""),"",F149*G149)</f>
        <v/>
      </c>
      <c r="I149" s="6">
        <f>IF(H149="","",H149/INFO_PROJECT!$B$22*100)</f>
        <v/>
      </c>
      <c r="J149" s="2" t="inlineStr"/>
      <c r="K149" s="2" t="inlineStr"/>
      <c r="L149" s="2" t="inlineStr"/>
    </row>
    <row r="150">
      <c r="A150" s="2" t="inlineStr"/>
      <c r="B150" s="2" t="inlineStr"/>
      <c r="C150" s="2" t="inlineStr"/>
      <c r="D150" s="2" t="inlineStr"/>
      <c r="E150" s="2" t="inlineStr"/>
      <c r="F150" s="5" t="n"/>
      <c r="G150" s="3" t="n"/>
      <c r="H150" s="3">
        <f>IF(OR(F150="",G150=""),"",F150*G150)</f>
        <v/>
      </c>
      <c r="I150" s="6">
        <f>IF(H150="","",H150/INFO_PROJECT!$B$22*100)</f>
        <v/>
      </c>
      <c r="J150" s="2" t="inlineStr"/>
      <c r="K150" s="2" t="inlineStr"/>
      <c r="L150" s="2" t="inlineStr"/>
    </row>
    <row r="151">
      <c r="A151" s="2" t="inlineStr"/>
      <c r="B151" s="2" t="inlineStr"/>
      <c r="C151" s="2" t="inlineStr"/>
      <c r="D151" s="2" t="inlineStr"/>
      <c r="E151" s="2" t="inlineStr"/>
      <c r="F151" s="5" t="n"/>
      <c r="G151" s="3" t="n"/>
      <c r="H151" s="3">
        <f>IF(OR(F151="",G151=""),"",F151*G151)</f>
        <v/>
      </c>
      <c r="I151" s="6">
        <f>IF(H151="","",H151/INFO_PROJECT!$B$22*100)</f>
        <v/>
      </c>
      <c r="J151" s="2" t="inlineStr"/>
      <c r="K151" s="2" t="inlineStr"/>
      <c r="L151" s="2" t="inlineStr"/>
    </row>
    <row r="152">
      <c r="A152" s="2" t="inlineStr"/>
      <c r="B152" s="2" t="inlineStr"/>
      <c r="C152" s="2" t="inlineStr"/>
      <c r="D152" s="2" t="inlineStr"/>
      <c r="E152" s="2" t="inlineStr"/>
      <c r="F152" s="5" t="n"/>
      <c r="G152" s="3" t="n"/>
      <c r="H152" s="3">
        <f>IF(OR(F152="",G152=""),"",F152*G152)</f>
        <v/>
      </c>
      <c r="I152" s="6">
        <f>IF(H152="","",H152/INFO_PROJECT!$B$22*100)</f>
        <v/>
      </c>
      <c r="J152" s="2" t="inlineStr"/>
      <c r="K152" s="2" t="inlineStr"/>
      <c r="L152" s="2" t="inlineStr"/>
    </row>
    <row r="153">
      <c r="A153" s="2" t="inlineStr"/>
      <c r="B153" s="2" t="inlineStr"/>
      <c r="C153" s="2" t="inlineStr"/>
      <c r="D153" s="2" t="inlineStr"/>
      <c r="E153" s="2" t="inlineStr"/>
      <c r="F153" s="5" t="n"/>
      <c r="G153" s="3" t="n"/>
      <c r="H153" s="3">
        <f>IF(OR(F153="",G153=""),"",F153*G153)</f>
        <v/>
      </c>
      <c r="I153" s="6">
        <f>IF(H153="","",H153/INFO_PROJECT!$B$22*100)</f>
        <v/>
      </c>
      <c r="J153" s="2" t="inlineStr"/>
      <c r="K153" s="2" t="inlineStr"/>
      <c r="L153" s="2" t="inlineStr"/>
    </row>
    <row r="154">
      <c r="A154" s="2" t="inlineStr"/>
      <c r="B154" s="2" t="inlineStr"/>
      <c r="C154" s="2" t="inlineStr"/>
      <c r="D154" s="2" t="inlineStr"/>
      <c r="E154" s="2" t="inlineStr"/>
      <c r="F154" s="5" t="n"/>
      <c r="G154" s="3" t="n"/>
      <c r="H154" s="3">
        <f>IF(OR(F154="",G154=""),"",F154*G154)</f>
        <v/>
      </c>
      <c r="I154" s="6">
        <f>IF(H154="","",H154/INFO_PROJECT!$B$22*100)</f>
        <v/>
      </c>
      <c r="J154" s="2" t="inlineStr"/>
      <c r="K154" s="2" t="inlineStr"/>
      <c r="L154" s="2" t="inlineStr"/>
    </row>
    <row r="155">
      <c r="A155" s="2" t="inlineStr"/>
      <c r="B155" s="2" t="inlineStr"/>
      <c r="C155" s="2" t="inlineStr"/>
      <c r="D155" s="2" t="inlineStr"/>
      <c r="E155" s="2" t="inlineStr"/>
      <c r="F155" s="5" t="n"/>
      <c r="G155" s="3" t="n"/>
      <c r="H155" s="3">
        <f>IF(OR(F155="",G155=""),"",F155*G155)</f>
        <v/>
      </c>
      <c r="I155" s="6">
        <f>IF(H155="","",H155/INFO_PROJECT!$B$22*100)</f>
        <v/>
      </c>
      <c r="J155" s="2" t="inlineStr"/>
      <c r="K155" s="2" t="inlineStr"/>
      <c r="L155" s="2" t="inlineStr"/>
    </row>
    <row r="156">
      <c r="A156" s="2" t="inlineStr"/>
      <c r="B156" s="2" t="inlineStr"/>
      <c r="C156" s="2" t="inlineStr"/>
      <c r="D156" s="2" t="inlineStr"/>
      <c r="E156" s="2" t="inlineStr"/>
      <c r="F156" s="5" t="n"/>
      <c r="G156" s="3" t="n"/>
      <c r="H156" s="3">
        <f>IF(OR(F156="",G156=""),"",F156*G156)</f>
        <v/>
      </c>
      <c r="I156" s="6">
        <f>IF(H156="","",H156/INFO_PROJECT!$B$22*100)</f>
        <v/>
      </c>
      <c r="J156" s="2" t="inlineStr"/>
      <c r="K156" s="2" t="inlineStr"/>
      <c r="L156" s="2" t="inlineStr"/>
    </row>
    <row r="157">
      <c r="A157" s="2" t="inlineStr"/>
      <c r="B157" s="2" t="inlineStr"/>
      <c r="C157" s="2" t="inlineStr"/>
      <c r="D157" s="2" t="inlineStr"/>
      <c r="E157" s="2" t="inlineStr"/>
      <c r="F157" s="5" t="n"/>
      <c r="G157" s="3" t="n"/>
      <c r="H157" s="3">
        <f>IF(OR(F157="",G157=""),"",F157*G157)</f>
        <v/>
      </c>
      <c r="I157" s="6">
        <f>IF(H157="","",H157/INFO_PROJECT!$B$22*100)</f>
        <v/>
      </c>
      <c r="J157" s="2" t="inlineStr"/>
      <c r="K157" s="2" t="inlineStr"/>
      <c r="L157" s="2" t="inlineStr"/>
    </row>
    <row r="158">
      <c r="A158" s="2" t="inlineStr"/>
      <c r="B158" s="2" t="inlineStr"/>
      <c r="C158" s="2" t="inlineStr"/>
      <c r="D158" s="2" t="inlineStr"/>
      <c r="E158" s="2" t="inlineStr"/>
      <c r="F158" s="5" t="n"/>
      <c r="G158" s="3" t="n"/>
      <c r="H158" s="3">
        <f>IF(OR(F158="",G158=""),"",F158*G158)</f>
        <v/>
      </c>
      <c r="I158" s="6">
        <f>IF(H158="","",H158/INFO_PROJECT!$B$22*100)</f>
        <v/>
      </c>
      <c r="J158" s="2" t="inlineStr"/>
      <c r="K158" s="2" t="inlineStr"/>
      <c r="L158" s="2" t="inlineStr"/>
    </row>
    <row r="159">
      <c r="A159" s="2" t="inlineStr"/>
      <c r="B159" s="2" t="inlineStr"/>
      <c r="C159" s="2" t="inlineStr"/>
      <c r="D159" s="2" t="inlineStr"/>
      <c r="E159" s="2" t="inlineStr"/>
      <c r="F159" s="5" t="n"/>
      <c r="G159" s="3" t="n"/>
      <c r="H159" s="3">
        <f>IF(OR(F159="",G159=""),"",F159*G159)</f>
        <v/>
      </c>
      <c r="I159" s="6">
        <f>IF(H159="","",H159/INFO_PROJECT!$B$22*100)</f>
        <v/>
      </c>
      <c r="J159" s="2" t="inlineStr"/>
      <c r="K159" s="2" t="inlineStr"/>
      <c r="L159" s="2" t="inlineStr"/>
    </row>
    <row r="160">
      <c r="A160" s="2" t="inlineStr"/>
      <c r="B160" s="2" t="inlineStr"/>
      <c r="C160" s="2" t="inlineStr"/>
      <c r="D160" s="2" t="inlineStr"/>
      <c r="E160" s="2" t="inlineStr"/>
      <c r="F160" s="5" t="n"/>
      <c r="G160" s="3" t="n"/>
      <c r="H160" s="3">
        <f>IF(OR(F160="",G160=""),"",F160*G160)</f>
        <v/>
      </c>
      <c r="I160" s="6">
        <f>IF(H160="","",H160/INFO_PROJECT!$B$22*100)</f>
        <v/>
      </c>
      <c r="J160" s="2" t="inlineStr"/>
      <c r="K160" s="2" t="inlineStr"/>
      <c r="L160" s="2" t="inlineStr"/>
    </row>
    <row r="161">
      <c r="A161" s="2" t="inlineStr"/>
      <c r="B161" s="2" t="inlineStr"/>
      <c r="C161" s="2" t="inlineStr"/>
      <c r="D161" s="2" t="inlineStr"/>
      <c r="E161" s="2" t="inlineStr"/>
      <c r="F161" s="5" t="n"/>
      <c r="G161" s="3" t="n"/>
      <c r="H161" s="3">
        <f>IF(OR(F161="",G161=""),"",F161*G161)</f>
        <v/>
      </c>
      <c r="I161" s="6">
        <f>IF(H161="","",H161/INFO_PROJECT!$B$22*100)</f>
        <v/>
      </c>
      <c r="J161" s="2" t="inlineStr"/>
      <c r="K161" s="2" t="inlineStr"/>
      <c r="L161" s="2" t="inlineStr"/>
    </row>
    <row r="162">
      <c r="A162" s="2" t="inlineStr"/>
      <c r="B162" s="2" t="inlineStr"/>
      <c r="C162" s="2" t="inlineStr"/>
      <c r="D162" s="2" t="inlineStr"/>
      <c r="E162" s="2" t="inlineStr"/>
      <c r="F162" s="5" t="n"/>
      <c r="G162" s="3" t="n"/>
      <c r="H162" s="3">
        <f>IF(OR(F162="",G162=""),"",F162*G162)</f>
        <v/>
      </c>
      <c r="I162" s="6">
        <f>IF(H162="","",H162/INFO_PROJECT!$B$22*100)</f>
        <v/>
      </c>
      <c r="J162" s="2" t="inlineStr"/>
      <c r="K162" s="2" t="inlineStr"/>
      <c r="L162" s="2" t="inlineStr"/>
    </row>
    <row r="163">
      <c r="A163" s="2" t="inlineStr"/>
      <c r="B163" s="2" t="inlineStr"/>
      <c r="C163" s="2" t="inlineStr"/>
      <c r="D163" s="2" t="inlineStr"/>
      <c r="E163" s="2" t="inlineStr"/>
      <c r="F163" s="5" t="n"/>
      <c r="G163" s="3" t="n"/>
      <c r="H163" s="3">
        <f>IF(OR(F163="",G163=""),"",F163*G163)</f>
        <v/>
      </c>
      <c r="I163" s="6">
        <f>IF(H163="","",H163/INFO_PROJECT!$B$22*100)</f>
        <v/>
      </c>
      <c r="J163" s="2" t="inlineStr"/>
      <c r="K163" s="2" t="inlineStr"/>
      <c r="L163" s="2" t="inlineStr"/>
    </row>
    <row r="164">
      <c r="A164" s="2" t="inlineStr"/>
      <c r="B164" s="2" t="inlineStr"/>
      <c r="C164" s="2" t="inlineStr"/>
      <c r="D164" s="2" t="inlineStr"/>
      <c r="E164" s="2" t="inlineStr"/>
      <c r="F164" s="5" t="n"/>
      <c r="G164" s="3" t="n"/>
      <c r="H164" s="3">
        <f>IF(OR(F164="",G164=""),"",F164*G164)</f>
        <v/>
      </c>
      <c r="I164" s="6">
        <f>IF(H164="","",H164/INFO_PROJECT!$B$22*100)</f>
        <v/>
      </c>
      <c r="J164" s="2" t="inlineStr"/>
      <c r="K164" s="2" t="inlineStr"/>
      <c r="L164" s="2" t="inlineStr"/>
    </row>
    <row r="165">
      <c r="A165" s="2" t="inlineStr"/>
      <c r="B165" s="2" t="inlineStr"/>
      <c r="C165" s="2" t="inlineStr"/>
      <c r="D165" s="2" t="inlineStr"/>
      <c r="E165" s="2" t="inlineStr"/>
      <c r="F165" s="5" t="n"/>
      <c r="G165" s="3" t="n"/>
      <c r="H165" s="3">
        <f>IF(OR(F165="",G165=""),"",F165*G165)</f>
        <v/>
      </c>
      <c r="I165" s="6">
        <f>IF(H165="","",H165/INFO_PROJECT!$B$22*100)</f>
        <v/>
      </c>
      <c r="J165" s="2" t="inlineStr"/>
      <c r="K165" s="2" t="inlineStr"/>
      <c r="L165" s="2" t="inlineStr"/>
    </row>
    <row r="166">
      <c r="A166" s="2" t="inlineStr"/>
      <c r="B166" s="2" t="inlineStr"/>
      <c r="C166" s="2" t="inlineStr"/>
      <c r="D166" s="2" t="inlineStr"/>
      <c r="E166" s="2" t="inlineStr"/>
      <c r="F166" s="5" t="n"/>
      <c r="G166" s="3" t="n"/>
      <c r="H166" s="3">
        <f>IF(OR(F166="",G166=""),"",F166*G166)</f>
        <v/>
      </c>
      <c r="I166" s="6">
        <f>IF(H166="","",H166/INFO_PROJECT!$B$22*100)</f>
        <v/>
      </c>
      <c r="J166" s="2" t="inlineStr"/>
      <c r="K166" s="2" t="inlineStr"/>
      <c r="L166" s="2" t="inlineStr"/>
    </row>
    <row r="167">
      <c r="A167" s="2" t="inlineStr"/>
      <c r="B167" s="2" t="inlineStr"/>
      <c r="C167" s="2" t="inlineStr"/>
      <c r="D167" s="2" t="inlineStr"/>
      <c r="E167" s="2" t="inlineStr"/>
      <c r="F167" s="5" t="n"/>
      <c r="G167" s="3" t="n"/>
      <c r="H167" s="3">
        <f>IF(OR(F167="",G167=""),"",F167*G167)</f>
        <v/>
      </c>
      <c r="I167" s="6">
        <f>IF(H167="","",H167/INFO_PROJECT!$B$22*100)</f>
        <v/>
      </c>
      <c r="J167" s="2" t="inlineStr"/>
      <c r="K167" s="2" t="inlineStr"/>
      <c r="L167" s="2" t="inlineStr"/>
    </row>
    <row r="168">
      <c r="A168" s="2" t="inlineStr"/>
      <c r="B168" s="2" t="inlineStr"/>
      <c r="C168" s="2" t="inlineStr"/>
      <c r="D168" s="2" t="inlineStr"/>
      <c r="E168" s="2" t="inlineStr"/>
      <c r="F168" s="5" t="n"/>
      <c r="G168" s="3" t="n"/>
      <c r="H168" s="3">
        <f>IF(OR(F168="",G168=""),"",F168*G168)</f>
        <v/>
      </c>
      <c r="I168" s="6">
        <f>IF(H168="","",H168/INFO_PROJECT!$B$22*100)</f>
        <v/>
      </c>
      <c r="J168" s="2" t="inlineStr"/>
      <c r="K168" s="2" t="inlineStr"/>
      <c r="L168" s="2" t="inlineStr"/>
    </row>
    <row r="169">
      <c r="A169" s="2" t="inlineStr"/>
      <c r="B169" s="2" t="inlineStr"/>
      <c r="C169" s="2" t="inlineStr"/>
      <c r="D169" s="2" t="inlineStr"/>
      <c r="E169" s="2" t="inlineStr"/>
      <c r="F169" s="5" t="n"/>
      <c r="G169" s="3" t="n"/>
      <c r="H169" s="3">
        <f>IF(OR(F169="",G169=""),"",F169*G169)</f>
        <v/>
      </c>
      <c r="I169" s="6">
        <f>IF(H169="","",H169/INFO_PROJECT!$B$22*100)</f>
        <v/>
      </c>
      <c r="J169" s="2" t="inlineStr"/>
      <c r="K169" s="2" t="inlineStr"/>
      <c r="L169" s="2" t="inlineStr"/>
    </row>
    <row r="170">
      <c r="A170" s="2" t="inlineStr"/>
      <c r="B170" s="2" t="inlineStr"/>
      <c r="C170" s="2" t="inlineStr"/>
      <c r="D170" s="2" t="inlineStr"/>
      <c r="E170" s="2" t="inlineStr"/>
      <c r="F170" s="5" t="n"/>
      <c r="G170" s="3" t="n"/>
      <c r="H170" s="3">
        <f>IF(OR(F170="",G170=""),"",F170*G170)</f>
        <v/>
      </c>
      <c r="I170" s="6">
        <f>IF(H170="","",H170/INFO_PROJECT!$B$22*100)</f>
        <v/>
      </c>
      <c r="J170" s="2" t="inlineStr"/>
      <c r="K170" s="2" t="inlineStr"/>
      <c r="L170" s="2" t="inlineStr"/>
    </row>
    <row r="171">
      <c r="A171" s="2" t="inlineStr"/>
      <c r="B171" s="2" t="inlineStr"/>
      <c r="C171" s="2" t="inlineStr"/>
      <c r="D171" s="2" t="inlineStr"/>
      <c r="E171" s="2" t="inlineStr"/>
      <c r="F171" s="5" t="n"/>
      <c r="G171" s="3" t="n"/>
      <c r="H171" s="3">
        <f>IF(OR(F171="",G171=""),"",F171*G171)</f>
        <v/>
      </c>
      <c r="I171" s="6">
        <f>IF(H171="","",H171/INFO_PROJECT!$B$22*100)</f>
        <v/>
      </c>
      <c r="J171" s="2" t="inlineStr"/>
      <c r="K171" s="2" t="inlineStr"/>
      <c r="L171" s="2" t="inlineStr"/>
    </row>
    <row r="172">
      <c r="A172" s="2" t="inlineStr"/>
      <c r="B172" s="2" t="inlineStr"/>
      <c r="C172" s="2" t="inlineStr"/>
      <c r="D172" s="2" t="inlineStr"/>
      <c r="E172" s="2" t="inlineStr"/>
      <c r="F172" s="5" t="n"/>
      <c r="G172" s="3" t="n"/>
      <c r="H172" s="3">
        <f>IF(OR(F172="",G172=""),"",F172*G172)</f>
        <v/>
      </c>
      <c r="I172" s="6">
        <f>IF(H172="","",H172/INFO_PROJECT!$B$22*100)</f>
        <v/>
      </c>
      <c r="J172" s="2" t="inlineStr"/>
      <c r="K172" s="2" t="inlineStr"/>
      <c r="L172" s="2" t="inlineStr"/>
    </row>
    <row r="173">
      <c r="A173" s="2" t="inlineStr"/>
      <c r="B173" s="2" t="inlineStr"/>
      <c r="C173" s="2" t="inlineStr"/>
      <c r="D173" s="2" t="inlineStr"/>
      <c r="E173" s="2" t="inlineStr"/>
      <c r="F173" s="5" t="n"/>
      <c r="G173" s="3" t="n"/>
      <c r="H173" s="3">
        <f>IF(OR(F173="",G173=""),"",F173*G173)</f>
        <v/>
      </c>
      <c r="I173" s="6">
        <f>IF(H173="","",H173/INFO_PROJECT!$B$22*100)</f>
        <v/>
      </c>
      <c r="J173" s="2" t="inlineStr"/>
      <c r="K173" s="2" t="inlineStr"/>
      <c r="L173" s="2" t="inlineStr"/>
    </row>
    <row r="174">
      <c r="A174" s="2" t="inlineStr"/>
      <c r="B174" s="2" t="inlineStr"/>
      <c r="C174" s="2" t="inlineStr"/>
      <c r="D174" s="2" t="inlineStr"/>
      <c r="E174" s="2" t="inlineStr"/>
      <c r="F174" s="5" t="n"/>
      <c r="G174" s="3" t="n"/>
      <c r="H174" s="3">
        <f>IF(OR(F174="",G174=""),"",F174*G174)</f>
        <v/>
      </c>
      <c r="I174" s="6">
        <f>IF(H174="","",H174/INFO_PROJECT!$B$22*100)</f>
        <v/>
      </c>
      <c r="J174" s="2" t="inlineStr"/>
      <c r="K174" s="2" t="inlineStr"/>
      <c r="L174" s="2" t="inlineStr"/>
    </row>
    <row r="175">
      <c r="A175" s="2" t="inlineStr"/>
      <c r="B175" s="2" t="inlineStr"/>
      <c r="C175" s="2" t="inlineStr"/>
      <c r="D175" s="2" t="inlineStr"/>
      <c r="E175" s="2" t="inlineStr"/>
      <c r="F175" s="5" t="n"/>
      <c r="G175" s="3" t="n"/>
      <c r="H175" s="3">
        <f>IF(OR(F175="",G175=""),"",F175*G175)</f>
        <v/>
      </c>
      <c r="I175" s="6">
        <f>IF(H175="","",H175/INFO_PROJECT!$B$22*100)</f>
        <v/>
      </c>
      <c r="J175" s="2" t="inlineStr"/>
      <c r="K175" s="2" t="inlineStr"/>
      <c r="L175" s="2" t="inlineStr"/>
    </row>
    <row r="176">
      <c r="A176" s="2" t="inlineStr"/>
      <c r="B176" s="2" t="inlineStr"/>
      <c r="C176" s="2" t="inlineStr"/>
      <c r="D176" s="2" t="inlineStr"/>
      <c r="E176" s="2" t="inlineStr"/>
      <c r="F176" s="5" t="n"/>
      <c r="G176" s="3" t="n"/>
      <c r="H176" s="3">
        <f>IF(OR(F176="",G176=""),"",F176*G176)</f>
        <v/>
      </c>
      <c r="I176" s="6">
        <f>IF(H176="","",H176/INFO_PROJECT!$B$22*100)</f>
        <v/>
      </c>
      <c r="J176" s="2" t="inlineStr"/>
      <c r="K176" s="2" t="inlineStr"/>
      <c r="L176" s="2" t="inlineStr"/>
    </row>
    <row r="177">
      <c r="A177" s="2" t="inlineStr"/>
      <c r="B177" s="2" t="inlineStr"/>
      <c r="C177" s="2" t="inlineStr"/>
      <c r="D177" s="2" t="inlineStr"/>
      <c r="E177" s="2" t="inlineStr"/>
      <c r="F177" s="5" t="n"/>
      <c r="G177" s="3" t="n"/>
      <c r="H177" s="3">
        <f>IF(OR(F177="",G177=""),"",F177*G177)</f>
        <v/>
      </c>
      <c r="I177" s="6">
        <f>IF(H177="","",H177/INFO_PROJECT!$B$22*100)</f>
        <v/>
      </c>
      <c r="J177" s="2" t="inlineStr"/>
      <c r="K177" s="2" t="inlineStr"/>
      <c r="L177" s="2" t="inlineStr"/>
    </row>
    <row r="178">
      <c r="A178" s="2" t="inlineStr"/>
      <c r="B178" s="2" t="inlineStr"/>
      <c r="C178" s="2" t="inlineStr"/>
      <c r="D178" s="2" t="inlineStr"/>
      <c r="E178" s="2" t="inlineStr"/>
      <c r="F178" s="5" t="n"/>
      <c r="G178" s="3" t="n"/>
      <c r="H178" s="3">
        <f>IF(OR(F178="",G178=""),"",F178*G178)</f>
        <v/>
      </c>
      <c r="I178" s="6">
        <f>IF(H178="","",H178/INFO_PROJECT!$B$22*100)</f>
        <v/>
      </c>
      <c r="J178" s="2" t="inlineStr"/>
      <c r="K178" s="2" t="inlineStr"/>
      <c r="L178" s="2" t="inlineStr"/>
    </row>
    <row r="179">
      <c r="A179" s="2" t="inlineStr"/>
      <c r="B179" s="2" t="inlineStr"/>
      <c r="C179" s="2" t="inlineStr"/>
      <c r="D179" s="2" t="inlineStr"/>
      <c r="E179" s="2" t="inlineStr"/>
      <c r="F179" s="5" t="n"/>
      <c r="G179" s="3" t="n"/>
      <c r="H179" s="3">
        <f>IF(OR(F179="",G179=""),"",F179*G179)</f>
        <v/>
      </c>
      <c r="I179" s="6">
        <f>IF(H179="","",H179/INFO_PROJECT!$B$22*100)</f>
        <v/>
      </c>
      <c r="J179" s="2" t="inlineStr"/>
      <c r="K179" s="2" t="inlineStr"/>
      <c r="L179" s="2" t="inlineStr"/>
    </row>
    <row r="180">
      <c r="A180" s="2" t="inlineStr"/>
      <c r="B180" s="2" t="inlineStr"/>
      <c r="C180" s="2" t="inlineStr"/>
      <c r="D180" s="2" t="inlineStr"/>
      <c r="E180" s="2" t="inlineStr"/>
      <c r="F180" s="5" t="n"/>
      <c r="G180" s="3" t="n"/>
      <c r="H180" s="3">
        <f>IF(OR(F180="",G180=""),"",F180*G180)</f>
        <v/>
      </c>
      <c r="I180" s="6">
        <f>IF(H180="","",H180/INFO_PROJECT!$B$22*100)</f>
        <v/>
      </c>
      <c r="J180" s="2" t="inlineStr"/>
      <c r="K180" s="2" t="inlineStr"/>
      <c r="L180" s="2" t="inlineStr"/>
    </row>
    <row r="181">
      <c r="A181" s="2" t="inlineStr"/>
      <c r="B181" s="2" t="inlineStr"/>
      <c r="C181" s="2" t="inlineStr"/>
      <c r="D181" s="2" t="inlineStr"/>
      <c r="E181" s="2" t="inlineStr"/>
      <c r="F181" s="5" t="n"/>
      <c r="G181" s="3" t="n"/>
      <c r="H181" s="3">
        <f>IF(OR(F181="",G181=""),"",F181*G181)</f>
        <v/>
      </c>
      <c r="I181" s="6">
        <f>IF(H181="","",H181/INFO_PROJECT!$B$22*100)</f>
        <v/>
      </c>
      <c r="J181" s="2" t="inlineStr"/>
      <c r="K181" s="2" t="inlineStr"/>
      <c r="L181" s="2" t="inlineStr"/>
    </row>
    <row r="182">
      <c r="A182" s="2" t="inlineStr"/>
      <c r="B182" s="2" t="inlineStr"/>
      <c r="C182" s="2" t="inlineStr"/>
      <c r="D182" s="2" t="inlineStr"/>
      <c r="E182" s="2" t="inlineStr"/>
      <c r="F182" s="5" t="n"/>
      <c r="G182" s="3" t="n"/>
      <c r="H182" s="3">
        <f>IF(OR(F182="",G182=""),"",F182*G182)</f>
        <v/>
      </c>
      <c r="I182" s="6">
        <f>IF(H182="","",H182/INFO_PROJECT!$B$22*100)</f>
        <v/>
      </c>
      <c r="J182" s="2" t="inlineStr"/>
      <c r="K182" s="2" t="inlineStr"/>
      <c r="L182" s="2" t="inlineStr"/>
    </row>
    <row r="183">
      <c r="A183" s="2" t="inlineStr"/>
      <c r="B183" s="2" t="inlineStr"/>
      <c r="C183" s="2" t="inlineStr"/>
      <c r="D183" s="2" t="inlineStr"/>
      <c r="E183" s="2" t="inlineStr"/>
      <c r="F183" s="5" t="n"/>
      <c r="G183" s="3" t="n"/>
      <c r="H183" s="3">
        <f>IF(OR(F183="",G183=""),"",F183*G183)</f>
        <v/>
      </c>
      <c r="I183" s="6">
        <f>IF(H183="","",H183/INFO_PROJECT!$B$22*100)</f>
        <v/>
      </c>
      <c r="J183" s="2" t="inlineStr"/>
      <c r="K183" s="2" t="inlineStr"/>
      <c r="L183" s="2" t="inlineStr"/>
    </row>
    <row r="184">
      <c r="A184" s="2" t="inlineStr"/>
      <c r="B184" s="2" t="inlineStr"/>
      <c r="C184" s="2" t="inlineStr"/>
      <c r="D184" s="2" t="inlineStr"/>
      <c r="E184" s="2" t="inlineStr"/>
      <c r="F184" s="5" t="n"/>
      <c r="G184" s="3" t="n"/>
      <c r="H184" s="3">
        <f>IF(OR(F184="",G184=""),"",F184*G184)</f>
        <v/>
      </c>
      <c r="I184" s="6">
        <f>IF(H184="","",H184/INFO_PROJECT!$B$22*100)</f>
        <v/>
      </c>
      <c r="J184" s="2" t="inlineStr"/>
      <c r="K184" s="2" t="inlineStr"/>
      <c r="L184" s="2" t="inlineStr"/>
    </row>
    <row r="185">
      <c r="A185" s="2" t="inlineStr"/>
      <c r="B185" s="2" t="inlineStr"/>
      <c r="C185" s="2" t="inlineStr"/>
      <c r="D185" s="2" t="inlineStr"/>
      <c r="E185" s="2" t="inlineStr"/>
      <c r="F185" s="5" t="n"/>
      <c r="G185" s="3" t="n"/>
      <c r="H185" s="3">
        <f>IF(OR(F185="",G185=""),"",F185*G185)</f>
        <v/>
      </c>
      <c r="I185" s="6">
        <f>IF(H185="","",H185/INFO_PROJECT!$B$22*100)</f>
        <v/>
      </c>
      <c r="J185" s="2" t="inlineStr"/>
      <c r="K185" s="2" t="inlineStr"/>
      <c r="L185" s="2" t="inlineStr"/>
    </row>
    <row r="186">
      <c r="A186" s="2" t="inlineStr"/>
      <c r="B186" s="2" t="inlineStr"/>
      <c r="C186" s="2" t="inlineStr"/>
      <c r="D186" s="2" t="inlineStr"/>
      <c r="E186" s="2" t="inlineStr"/>
      <c r="F186" s="5" t="n"/>
      <c r="G186" s="3" t="n"/>
      <c r="H186" s="3">
        <f>IF(OR(F186="",G186=""),"",F186*G186)</f>
        <v/>
      </c>
      <c r="I186" s="6">
        <f>IF(H186="","",H186/INFO_PROJECT!$B$22*100)</f>
        <v/>
      </c>
      <c r="J186" s="2" t="inlineStr"/>
      <c r="K186" s="2" t="inlineStr"/>
      <c r="L186" s="2" t="inlineStr"/>
    </row>
    <row r="187">
      <c r="A187" s="2" t="inlineStr"/>
      <c r="B187" s="2" t="inlineStr"/>
      <c r="C187" s="2" t="inlineStr"/>
      <c r="D187" s="2" t="inlineStr"/>
      <c r="E187" s="2" t="inlineStr"/>
      <c r="F187" s="5" t="n"/>
      <c r="G187" s="3" t="n"/>
      <c r="H187" s="3">
        <f>IF(OR(F187="",G187=""),"",F187*G187)</f>
        <v/>
      </c>
      <c r="I187" s="6">
        <f>IF(H187="","",H187/INFO_PROJECT!$B$22*100)</f>
        <v/>
      </c>
      <c r="J187" s="2" t="inlineStr"/>
      <c r="K187" s="2" t="inlineStr"/>
      <c r="L187" s="2" t="inlineStr"/>
    </row>
    <row r="188">
      <c r="A188" s="2" t="inlineStr"/>
      <c r="B188" s="2" t="inlineStr"/>
      <c r="C188" s="2" t="inlineStr"/>
      <c r="D188" s="2" t="inlineStr"/>
      <c r="E188" s="2" t="inlineStr"/>
      <c r="F188" s="5" t="n"/>
      <c r="G188" s="3" t="n"/>
      <c r="H188" s="3">
        <f>IF(OR(F188="",G188=""),"",F188*G188)</f>
        <v/>
      </c>
      <c r="I188" s="6">
        <f>IF(H188="","",H188/INFO_PROJECT!$B$22*100)</f>
        <v/>
      </c>
      <c r="J188" s="2" t="inlineStr"/>
      <c r="K188" s="2" t="inlineStr"/>
      <c r="L188" s="2" t="inlineStr"/>
    </row>
    <row r="189">
      <c r="A189" s="2" t="inlineStr"/>
      <c r="B189" s="2" t="inlineStr"/>
      <c r="C189" s="2" t="inlineStr"/>
      <c r="D189" s="2" t="inlineStr"/>
      <c r="E189" s="2" t="inlineStr"/>
      <c r="F189" s="5" t="n"/>
      <c r="G189" s="3" t="n"/>
      <c r="H189" s="3">
        <f>IF(OR(F189="",G189=""),"",F189*G189)</f>
        <v/>
      </c>
      <c r="I189" s="6">
        <f>IF(H189="","",H189/INFO_PROJECT!$B$22*100)</f>
        <v/>
      </c>
      <c r="J189" s="2" t="inlineStr"/>
      <c r="K189" s="2" t="inlineStr"/>
      <c r="L189" s="2" t="inlineStr"/>
    </row>
    <row r="190">
      <c r="A190" s="2" t="inlineStr"/>
      <c r="B190" s="2" t="inlineStr"/>
      <c r="C190" s="2" t="inlineStr"/>
      <c r="D190" s="2" t="inlineStr"/>
      <c r="E190" s="2" t="inlineStr"/>
      <c r="F190" s="5" t="n"/>
      <c r="G190" s="3" t="n"/>
      <c r="H190" s="3">
        <f>IF(OR(F190="",G190=""),"",F190*G190)</f>
        <v/>
      </c>
      <c r="I190" s="6">
        <f>IF(H190="","",H190/INFO_PROJECT!$B$22*100)</f>
        <v/>
      </c>
      <c r="J190" s="2" t="inlineStr"/>
      <c r="K190" s="2" t="inlineStr"/>
      <c r="L190" s="2" t="inlineStr"/>
    </row>
    <row r="191">
      <c r="A191" s="2" t="inlineStr"/>
      <c r="B191" s="2" t="inlineStr"/>
      <c r="C191" s="2" t="inlineStr"/>
      <c r="D191" s="2" t="inlineStr"/>
      <c r="E191" s="2" t="inlineStr"/>
      <c r="F191" s="5" t="n"/>
      <c r="G191" s="3" t="n"/>
      <c r="H191" s="3">
        <f>IF(OR(F191="",G191=""),"",F191*G191)</f>
        <v/>
      </c>
      <c r="I191" s="6">
        <f>IF(H191="","",H191/INFO_PROJECT!$B$22*100)</f>
        <v/>
      </c>
      <c r="J191" s="2" t="inlineStr"/>
      <c r="K191" s="2" t="inlineStr"/>
      <c r="L191" s="2" t="inlineStr"/>
    </row>
    <row r="192">
      <c r="A192" s="2" t="inlineStr"/>
      <c r="B192" s="2" t="inlineStr"/>
      <c r="C192" s="2" t="inlineStr"/>
      <c r="D192" s="2" t="inlineStr"/>
      <c r="E192" s="2" t="inlineStr"/>
      <c r="F192" s="5" t="n"/>
      <c r="G192" s="3" t="n"/>
      <c r="H192" s="3">
        <f>IF(OR(F192="",G192=""),"",F192*G192)</f>
        <v/>
      </c>
      <c r="I192" s="6">
        <f>IF(H192="","",H192/INFO_PROJECT!$B$22*100)</f>
        <v/>
      </c>
      <c r="J192" s="2" t="inlineStr"/>
      <c r="K192" s="2" t="inlineStr"/>
      <c r="L192" s="2" t="inlineStr"/>
    </row>
    <row r="193">
      <c r="A193" s="2" t="inlineStr"/>
      <c r="B193" s="2" t="inlineStr"/>
      <c r="C193" s="2" t="inlineStr"/>
      <c r="D193" s="2" t="inlineStr"/>
      <c r="E193" s="2" t="inlineStr"/>
      <c r="F193" s="5" t="n"/>
      <c r="G193" s="3" t="n"/>
      <c r="H193" s="3">
        <f>IF(OR(F193="",G193=""),"",F193*G193)</f>
        <v/>
      </c>
      <c r="I193" s="6">
        <f>IF(H193="","",H193/INFO_PROJECT!$B$22*100)</f>
        <v/>
      </c>
      <c r="J193" s="2" t="inlineStr"/>
      <c r="K193" s="2" t="inlineStr"/>
      <c r="L193" s="2" t="inlineStr"/>
    </row>
    <row r="194">
      <c r="A194" s="2" t="inlineStr"/>
      <c r="B194" s="2" t="inlineStr"/>
      <c r="C194" s="2" t="inlineStr"/>
      <c r="D194" s="2" t="inlineStr"/>
      <c r="E194" s="2" t="inlineStr"/>
      <c r="F194" s="5" t="n"/>
      <c r="G194" s="3" t="n"/>
      <c r="H194" s="3">
        <f>IF(OR(F194="",G194=""),"",F194*G194)</f>
        <v/>
      </c>
      <c r="I194" s="6">
        <f>IF(H194="","",H194/INFO_PROJECT!$B$22*100)</f>
        <v/>
      </c>
      <c r="J194" s="2" t="inlineStr"/>
      <c r="K194" s="2" t="inlineStr"/>
      <c r="L194" s="2" t="inlineStr"/>
    </row>
    <row r="195">
      <c r="A195" s="2" t="inlineStr"/>
      <c r="B195" s="2" t="inlineStr"/>
      <c r="C195" s="2" t="inlineStr"/>
      <c r="D195" s="2" t="inlineStr"/>
      <c r="E195" s="2" t="inlineStr"/>
      <c r="F195" s="5" t="n"/>
      <c r="G195" s="3" t="n"/>
      <c r="H195" s="3">
        <f>IF(OR(F195="",G195=""),"",F195*G195)</f>
        <v/>
      </c>
      <c r="I195" s="6">
        <f>IF(H195="","",H195/INFO_PROJECT!$B$22*100)</f>
        <v/>
      </c>
      <c r="J195" s="2" t="inlineStr"/>
      <c r="K195" s="2" t="inlineStr"/>
      <c r="L195" s="2" t="inlineStr"/>
    </row>
    <row r="196">
      <c r="A196" s="2" t="inlineStr"/>
      <c r="B196" s="2" t="inlineStr"/>
      <c r="C196" s="2" t="inlineStr"/>
      <c r="D196" s="2" t="inlineStr"/>
      <c r="E196" s="2" t="inlineStr"/>
      <c r="F196" s="5" t="n"/>
      <c r="G196" s="3" t="n"/>
      <c r="H196" s="3">
        <f>IF(OR(F196="",G196=""),"",F196*G196)</f>
        <v/>
      </c>
      <c r="I196" s="6">
        <f>IF(H196="","",H196/INFO_PROJECT!$B$22*100)</f>
        <v/>
      </c>
      <c r="J196" s="2" t="inlineStr"/>
      <c r="K196" s="2" t="inlineStr"/>
      <c r="L196" s="2" t="inlineStr"/>
    </row>
    <row r="197">
      <c r="A197" s="2" t="inlineStr"/>
      <c r="B197" s="2" t="inlineStr"/>
      <c r="C197" s="2" t="inlineStr"/>
      <c r="D197" s="2" t="inlineStr"/>
      <c r="E197" s="2" t="inlineStr"/>
      <c r="F197" s="5" t="n"/>
      <c r="G197" s="3" t="n"/>
      <c r="H197" s="3">
        <f>IF(OR(F197="",G197=""),"",F197*G197)</f>
        <v/>
      </c>
      <c r="I197" s="6">
        <f>IF(H197="","",H197/INFO_PROJECT!$B$22*100)</f>
        <v/>
      </c>
      <c r="J197" s="2" t="inlineStr"/>
      <c r="K197" s="2" t="inlineStr"/>
      <c r="L197" s="2" t="inlineStr"/>
    </row>
    <row r="198">
      <c r="A198" s="2" t="inlineStr"/>
      <c r="B198" s="2" t="inlineStr"/>
      <c r="C198" s="2" t="inlineStr"/>
      <c r="D198" s="2" t="inlineStr"/>
      <c r="E198" s="2" t="inlineStr"/>
      <c r="F198" s="5" t="n"/>
      <c r="G198" s="3" t="n"/>
      <c r="H198" s="3">
        <f>IF(OR(F198="",G198=""),"",F198*G198)</f>
        <v/>
      </c>
      <c r="I198" s="6">
        <f>IF(H198="","",H198/INFO_PROJECT!$B$22*100)</f>
        <v/>
      </c>
      <c r="J198" s="2" t="inlineStr"/>
      <c r="K198" s="2" t="inlineStr"/>
      <c r="L198" s="2" t="inlineStr"/>
    </row>
    <row r="199">
      <c r="A199" s="2" t="inlineStr"/>
      <c r="B199" s="2" t="inlineStr"/>
      <c r="C199" s="2" t="inlineStr"/>
      <c r="D199" s="2" t="inlineStr"/>
      <c r="E199" s="2" t="inlineStr"/>
      <c r="F199" s="5" t="n"/>
      <c r="G199" s="3" t="n"/>
      <c r="H199" s="3">
        <f>IF(OR(F199="",G199=""),"",F199*G199)</f>
        <v/>
      </c>
      <c r="I199" s="6">
        <f>IF(H199="","",H199/INFO_PROJECT!$B$22*100)</f>
        <v/>
      </c>
      <c r="J199" s="2" t="inlineStr"/>
      <c r="K199" s="2" t="inlineStr"/>
      <c r="L199" s="2" t="inlineStr"/>
    </row>
    <row r="200">
      <c r="A200" s="2" t="inlineStr"/>
      <c r="B200" s="2" t="inlineStr"/>
      <c r="C200" s="2" t="inlineStr"/>
      <c r="D200" s="2" t="inlineStr"/>
      <c r="E200" s="2" t="inlineStr"/>
      <c r="F200" s="5" t="n"/>
      <c r="G200" s="3" t="n"/>
      <c r="H200" s="3">
        <f>IF(OR(F200="",G200=""),"",F200*G200)</f>
        <v/>
      </c>
      <c r="I200" s="6">
        <f>IF(H200="","",H200/INFO_PROJECT!$B$22*100)</f>
        <v/>
      </c>
      <c r="J200" s="2" t="inlineStr"/>
      <c r="K200" s="2" t="inlineStr"/>
      <c r="L200" s="2" t="inlineStr"/>
    </row>
    <row r="201">
      <c r="A201" s="2" t="inlineStr"/>
      <c r="B201" s="2" t="inlineStr"/>
      <c r="C201" s="2" t="inlineStr"/>
      <c r="D201" s="2" t="inlineStr"/>
      <c r="E201" s="2" t="inlineStr"/>
      <c r="F201" s="5" t="n"/>
      <c r="G201" s="3" t="n"/>
      <c r="H201" s="3">
        <f>IF(OR(F201="",G201=""),"",F201*G201)</f>
        <v/>
      </c>
      <c r="I201" s="6">
        <f>IF(H201="","",H201/INFO_PROJECT!$B$22*100)</f>
        <v/>
      </c>
      <c r="J201" s="2" t="inlineStr"/>
      <c r="K201" s="2" t="inlineStr"/>
      <c r="L201" s="2" t="inlineStr"/>
    </row>
    <row r="202">
      <c r="A202" s="2" t="inlineStr"/>
      <c r="B202" s="2" t="inlineStr"/>
      <c r="C202" s="2" t="inlineStr"/>
      <c r="D202" s="2" t="inlineStr"/>
      <c r="E202" s="2" t="inlineStr"/>
      <c r="F202" s="5" t="n"/>
      <c r="G202" s="3" t="n"/>
      <c r="H202" s="3">
        <f>IF(OR(F202="",G202=""),"",F202*G202)</f>
        <v/>
      </c>
      <c r="I202" s="6">
        <f>IF(H202="","",H202/INFO_PROJECT!$B$22*100)</f>
        <v/>
      </c>
      <c r="J202" s="2" t="inlineStr"/>
      <c r="K202" s="2" t="inlineStr"/>
      <c r="L202" s="2" t="inlineStr"/>
    </row>
    <row r="203">
      <c r="A203" s="2" t="inlineStr"/>
      <c r="B203" s="2" t="inlineStr"/>
      <c r="C203" s="2" t="inlineStr"/>
      <c r="D203" s="2" t="inlineStr"/>
      <c r="E203" s="2" t="inlineStr"/>
      <c r="F203" s="5" t="n"/>
      <c r="G203" s="3" t="n"/>
      <c r="H203" s="3">
        <f>IF(OR(F203="",G203=""),"",F203*G203)</f>
        <v/>
      </c>
      <c r="I203" s="6">
        <f>IF(H203="","",H203/INFO_PROJECT!$B$22*100)</f>
        <v/>
      </c>
      <c r="J203" s="2" t="inlineStr"/>
      <c r="K203" s="2" t="inlineStr"/>
      <c r="L203" s="2" t="inlineStr"/>
    </row>
    <row r="204">
      <c r="A204" s="2" t="inlineStr"/>
      <c r="B204" s="2" t="inlineStr"/>
      <c r="C204" s="2" t="inlineStr"/>
      <c r="D204" s="2" t="inlineStr"/>
      <c r="E204" s="2" t="inlineStr"/>
      <c r="F204" s="5" t="n"/>
      <c r="G204" s="3" t="n"/>
      <c r="H204" s="3">
        <f>IF(OR(F204="",G204=""),"",F204*G204)</f>
        <v/>
      </c>
      <c r="I204" s="6">
        <f>IF(H204="","",H204/INFO_PROJECT!$B$22*100)</f>
        <v/>
      </c>
      <c r="J204" s="2" t="inlineStr"/>
      <c r="K204" s="2" t="inlineStr"/>
      <c r="L204" s="2" t="inlineStr"/>
    </row>
    <row r="205">
      <c r="A205" s="2" t="inlineStr"/>
      <c r="B205" s="2" t="inlineStr"/>
      <c r="C205" s="2" t="inlineStr"/>
      <c r="D205" s="2" t="inlineStr"/>
      <c r="E205" s="2" t="inlineStr"/>
      <c r="F205" s="5" t="n"/>
      <c r="G205" s="3" t="n"/>
      <c r="H205" s="3">
        <f>IF(OR(F205="",G205=""),"",F205*G205)</f>
        <v/>
      </c>
      <c r="I205" s="6">
        <f>IF(H205="","",H205/INFO_PROJECT!$B$22*100)</f>
        <v/>
      </c>
      <c r="J205" s="2" t="inlineStr"/>
      <c r="K205" s="2" t="inlineStr"/>
      <c r="L205" s="2" t="inlineStr"/>
    </row>
    <row r="206">
      <c r="A206" s="2" t="inlineStr"/>
      <c r="B206" s="2" t="inlineStr"/>
      <c r="C206" s="2" t="inlineStr"/>
      <c r="D206" s="2" t="inlineStr"/>
      <c r="E206" s="2" t="inlineStr"/>
      <c r="F206" s="5" t="n"/>
      <c r="G206" s="3" t="n"/>
      <c r="H206" s="3">
        <f>IF(OR(F206="",G206=""),"",F206*G206)</f>
        <v/>
      </c>
      <c r="I206" s="6">
        <f>IF(H206="","",H206/INFO_PROJECT!$B$22*100)</f>
        <v/>
      </c>
      <c r="J206" s="2" t="inlineStr"/>
      <c r="K206" s="2" t="inlineStr"/>
      <c r="L206" s="2" t="inlineStr"/>
    </row>
    <row r="207">
      <c r="A207" s="2" t="inlineStr"/>
      <c r="B207" s="2" t="inlineStr"/>
      <c r="C207" s="2" t="inlineStr"/>
      <c r="D207" s="2" t="inlineStr"/>
      <c r="E207" s="2" t="inlineStr"/>
      <c r="F207" s="5" t="n"/>
      <c r="G207" s="3" t="n"/>
      <c r="H207" s="3">
        <f>IF(OR(F207="",G207=""),"",F207*G207)</f>
        <v/>
      </c>
      <c r="I207" s="6">
        <f>IF(H207="","",H207/INFO_PROJECT!$B$22*100)</f>
        <v/>
      </c>
      <c r="J207" s="2" t="inlineStr"/>
      <c r="K207" s="2" t="inlineStr"/>
      <c r="L207" s="2" t="inlineStr"/>
    </row>
    <row r="208">
      <c r="A208" s="2" t="inlineStr"/>
      <c r="B208" s="2" t="inlineStr"/>
      <c r="C208" s="2" t="inlineStr"/>
      <c r="D208" s="2" t="inlineStr"/>
      <c r="E208" s="2" t="inlineStr"/>
      <c r="F208" s="5" t="n"/>
      <c r="G208" s="3" t="n"/>
      <c r="H208" s="3">
        <f>IF(OR(F208="",G208=""),"",F208*G208)</f>
        <v/>
      </c>
      <c r="I208" s="6">
        <f>IF(H208="","",H208/INFO_PROJECT!$B$22*100)</f>
        <v/>
      </c>
      <c r="J208" s="2" t="inlineStr"/>
      <c r="K208" s="2" t="inlineStr"/>
      <c r="L208" s="2" t="inlineStr"/>
    </row>
    <row r="209">
      <c r="A209" s="2" t="inlineStr"/>
      <c r="B209" s="2" t="inlineStr"/>
      <c r="C209" s="2" t="inlineStr"/>
      <c r="D209" s="2" t="inlineStr"/>
      <c r="E209" s="2" t="inlineStr"/>
      <c r="F209" s="5" t="n"/>
      <c r="G209" s="3" t="n"/>
      <c r="H209" s="3">
        <f>IF(OR(F209="",G209=""),"",F209*G209)</f>
        <v/>
      </c>
      <c r="I209" s="6">
        <f>IF(H209="","",H209/INFO_PROJECT!$B$22*100)</f>
        <v/>
      </c>
      <c r="J209" s="2" t="inlineStr"/>
      <c r="K209" s="2" t="inlineStr"/>
      <c r="L209" s="2" t="inlineStr"/>
    </row>
    <row r="210">
      <c r="A210" s="2" t="inlineStr"/>
      <c r="B210" s="2" t="inlineStr"/>
      <c r="C210" s="2" t="inlineStr"/>
      <c r="D210" s="2" t="inlineStr"/>
      <c r="E210" s="2" t="inlineStr"/>
      <c r="F210" s="5" t="n"/>
      <c r="G210" s="3" t="n"/>
      <c r="H210" s="3">
        <f>IF(OR(F210="",G210=""),"",F210*G210)</f>
        <v/>
      </c>
      <c r="I210" s="6">
        <f>IF(H210="","",H210/INFO_PROJECT!$B$22*100)</f>
        <v/>
      </c>
      <c r="J210" s="2" t="inlineStr"/>
      <c r="K210" s="2" t="inlineStr"/>
      <c r="L210" s="2" t="inlineStr"/>
    </row>
    <row r="211">
      <c r="A211" s="2" t="inlineStr"/>
      <c r="B211" s="2" t="inlineStr"/>
      <c r="C211" s="2" t="inlineStr"/>
      <c r="D211" s="2" t="inlineStr"/>
      <c r="E211" s="2" t="inlineStr"/>
      <c r="F211" s="5" t="n"/>
      <c r="G211" s="3" t="n"/>
      <c r="H211" s="3">
        <f>IF(OR(F211="",G211=""),"",F211*G211)</f>
        <v/>
      </c>
      <c r="I211" s="6">
        <f>IF(H211="","",H211/INFO_PROJECT!$B$22*100)</f>
        <v/>
      </c>
      <c r="J211" s="2" t="inlineStr"/>
      <c r="K211" s="2" t="inlineStr"/>
      <c r="L211" s="2" t="inlineStr"/>
    </row>
    <row r="212">
      <c r="A212" s="2" t="inlineStr"/>
      <c r="B212" s="2" t="inlineStr"/>
      <c r="C212" s="2" t="inlineStr"/>
      <c r="D212" s="2" t="inlineStr"/>
      <c r="E212" s="2" t="inlineStr"/>
      <c r="F212" s="5" t="n"/>
      <c r="G212" s="3" t="n"/>
      <c r="H212" s="3">
        <f>IF(OR(F212="",G212=""),"",F212*G212)</f>
        <v/>
      </c>
      <c r="I212" s="6">
        <f>IF(H212="","",H212/INFO_PROJECT!$B$22*100)</f>
        <v/>
      </c>
      <c r="J212" s="2" t="inlineStr"/>
      <c r="K212" s="2" t="inlineStr"/>
      <c r="L212" s="2" t="inlineStr"/>
    </row>
    <row r="213">
      <c r="A213" s="2" t="inlineStr"/>
      <c r="B213" s="2" t="inlineStr"/>
      <c r="C213" s="2" t="inlineStr"/>
      <c r="D213" s="2" t="inlineStr"/>
      <c r="E213" s="2" t="inlineStr"/>
      <c r="F213" s="5" t="n"/>
      <c r="G213" s="3" t="n"/>
      <c r="H213" s="3">
        <f>IF(OR(F213="",G213=""),"",F213*G213)</f>
        <v/>
      </c>
      <c r="I213" s="6">
        <f>IF(H213="","",H213/INFO_PROJECT!$B$22*100)</f>
        <v/>
      </c>
      <c r="J213" s="2" t="inlineStr"/>
      <c r="K213" s="2" t="inlineStr"/>
      <c r="L213" s="2" t="inlineStr"/>
    </row>
    <row r="214">
      <c r="A214" s="2" t="inlineStr"/>
      <c r="B214" s="2" t="inlineStr"/>
      <c r="C214" s="2" t="inlineStr"/>
      <c r="D214" s="2" t="inlineStr"/>
      <c r="E214" s="2" t="inlineStr"/>
      <c r="F214" s="5" t="n"/>
      <c r="G214" s="3" t="n"/>
      <c r="H214" s="3">
        <f>IF(OR(F214="",G214=""),"",F214*G214)</f>
        <v/>
      </c>
      <c r="I214" s="6">
        <f>IF(H214="","",H214/INFO_PROJECT!$B$22*100)</f>
        <v/>
      </c>
      <c r="J214" s="2" t="inlineStr"/>
      <c r="K214" s="2" t="inlineStr"/>
      <c r="L214" s="2" t="inlineStr"/>
    </row>
    <row r="215">
      <c r="A215" s="2" t="inlineStr"/>
      <c r="B215" s="2" t="inlineStr"/>
      <c r="C215" s="2" t="inlineStr"/>
      <c r="D215" s="2" t="inlineStr"/>
      <c r="E215" s="2" t="inlineStr"/>
      <c r="F215" s="5" t="n"/>
      <c r="G215" s="3" t="n"/>
      <c r="H215" s="3">
        <f>IF(OR(F215="",G215=""),"",F215*G215)</f>
        <v/>
      </c>
      <c r="I215" s="6">
        <f>IF(H215="","",H215/INFO_PROJECT!$B$22*100)</f>
        <v/>
      </c>
      <c r="J215" s="2" t="inlineStr"/>
      <c r="K215" s="2" t="inlineStr"/>
      <c r="L215" s="2" t="inlineStr"/>
    </row>
    <row r="216">
      <c r="A216" s="2" t="inlineStr"/>
      <c r="B216" s="2" t="inlineStr"/>
      <c r="C216" s="2" t="inlineStr"/>
      <c r="D216" s="2" t="inlineStr"/>
      <c r="E216" s="2" t="inlineStr"/>
      <c r="F216" s="5" t="n"/>
      <c r="G216" s="3" t="n"/>
      <c r="H216" s="3">
        <f>IF(OR(F216="",G216=""),"",F216*G216)</f>
        <v/>
      </c>
      <c r="I216" s="6">
        <f>IF(H216="","",H216/INFO_PROJECT!$B$22*100)</f>
        <v/>
      </c>
      <c r="J216" s="2" t="inlineStr"/>
      <c r="K216" s="2" t="inlineStr"/>
      <c r="L216" s="2" t="inlineStr"/>
    </row>
    <row r="217">
      <c r="A217" s="2" t="inlineStr"/>
      <c r="B217" s="2" t="inlineStr"/>
      <c r="C217" s="2" t="inlineStr"/>
      <c r="D217" s="2" t="inlineStr"/>
      <c r="E217" s="2" t="inlineStr"/>
      <c r="F217" s="5" t="n"/>
      <c r="G217" s="3" t="n"/>
      <c r="H217" s="3">
        <f>IF(OR(F217="",G217=""),"",F217*G217)</f>
        <v/>
      </c>
      <c r="I217" s="6">
        <f>IF(H217="","",H217/INFO_PROJECT!$B$22*100)</f>
        <v/>
      </c>
      <c r="J217" s="2" t="inlineStr"/>
      <c r="K217" s="2" t="inlineStr"/>
      <c r="L217" s="2" t="inlineStr"/>
    </row>
    <row r="218">
      <c r="A218" s="2" t="inlineStr"/>
      <c r="B218" s="2" t="inlineStr"/>
      <c r="C218" s="2" t="inlineStr"/>
      <c r="D218" s="2" t="inlineStr"/>
      <c r="E218" s="2" t="inlineStr"/>
      <c r="F218" s="5" t="n"/>
      <c r="G218" s="3" t="n"/>
      <c r="H218" s="3">
        <f>IF(OR(F218="",G218=""),"",F218*G218)</f>
        <v/>
      </c>
      <c r="I218" s="6">
        <f>IF(H218="","",H218/INFO_PROJECT!$B$22*100)</f>
        <v/>
      </c>
      <c r="J218" s="2" t="inlineStr"/>
      <c r="K218" s="2" t="inlineStr"/>
      <c r="L218" s="2" t="inlineStr"/>
    </row>
    <row r="219">
      <c r="A219" s="2" t="inlineStr"/>
      <c r="B219" s="2" t="inlineStr"/>
      <c r="C219" s="2" t="inlineStr"/>
      <c r="D219" s="2" t="inlineStr"/>
      <c r="E219" s="2" t="inlineStr"/>
      <c r="F219" s="5" t="n"/>
      <c r="G219" s="3" t="n"/>
      <c r="H219" s="3">
        <f>IF(OR(F219="",G219=""),"",F219*G219)</f>
        <v/>
      </c>
      <c r="I219" s="6">
        <f>IF(H219="","",H219/INFO_PROJECT!$B$22*100)</f>
        <v/>
      </c>
      <c r="J219" s="2" t="inlineStr"/>
      <c r="K219" s="2" t="inlineStr"/>
      <c r="L219" s="2" t="inlineStr"/>
    </row>
    <row r="220">
      <c r="A220" s="2" t="inlineStr"/>
      <c r="B220" s="2" t="inlineStr"/>
      <c r="C220" s="2" t="inlineStr"/>
      <c r="D220" s="2" t="inlineStr"/>
      <c r="E220" s="2" t="inlineStr"/>
      <c r="F220" s="5" t="n"/>
      <c r="G220" s="3" t="n"/>
      <c r="H220" s="3">
        <f>IF(OR(F220="",G220=""),"",F220*G220)</f>
        <v/>
      </c>
      <c r="I220" s="6">
        <f>IF(H220="","",H220/INFO_PROJECT!$B$22*100)</f>
        <v/>
      </c>
      <c r="J220" s="2" t="inlineStr"/>
      <c r="K220" s="2" t="inlineStr"/>
      <c r="L220" s="2" t="inlineStr"/>
    </row>
    <row r="221">
      <c r="A221" s="2" t="inlineStr"/>
      <c r="B221" s="2" t="inlineStr"/>
      <c r="C221" s="2" t="inlineStr"/>
      <c r="D221" s="2" t="inlineStr"/>
      <c r="E221" s="2" t="inlineStr"/>
      <c r="F221" s="5" t="n"/>
      <c r="G221" s="3" t="n"/>
      <c r="H221" s="3">
        <f>IF(OR(F221="",G221=""),"",F221*G221)</f>
        <v/>
      </c>
      <c r="I221" s="6">
        <f>IF(H221="","",H221/INFO_PROJECT!$B$22*100)</f>
        <v/>
      </c>
      <c r="J221" s="2" t="inlineStr"/>
      <c r="K221" s="2" t="inlineStr"/>
      <c r="L221" s="2" t="inlineStr"/>
    </row>
    <row r="222">
      <c r="A222" s="2" t="inlineStr"/>
      <c r="B222" s="2" t="inlineStr"/>
      <c r="C222" s="2" t="inlineStr"/>
      <c r="D222" s="2" t="inlineStr"/>
      <c r="E222" s="2" t="inlineStr"/>
      <c r="F222" s="5" t="n"/>
      <c r="G222" s="3" t="n"/>
      <c r="H222" s="3">
        <f>IF(OR(F222="",G222=""),"",F222*G222)</f>
        <v/>
      </c>
      <c r="I222" s="6">
        <f>IF(H222="","",H222/INFO_PROJECT!$B$22*100)</f>
        <v/>
      </c>
      <c r="J222" s="2" t="inlineStr"/>
      <c r="K222" s="2" t="inlineStr"/>
      <c r="L222" s="2" t="inlineStr"/>
    </row>
    <row r="223">
      <c r="A223" s="2" t="inlineStr"/>
      <c r="B223" s="2" t="inlineStr"/>
      <c r="C223" s="2" t="inlineStr"/>
      <c r="D223" s="2" t="inlineStr"/>
      <c r="E223" s="2" t="inlineStr"/>
      <c r="F223" s="5" t="n"/>
      <c r="G223" s="3" t="n"/>
      <c r="H223" s="3">
        <f>IF(OR(F223="",G223=""),"",F223*G223)</f>
        <v/>
      </c>
      <c r="I223" s="6">
        <f>IF(H223="","",H223/INFO_PROJECT!$B$22*100)</f>
        <v/>
      </c>
      <c r="J223" s="2" t="inlineStr"/>
      <c r="K223" s="2" t="inlineStr"/>
      <c r="L223" s="2" t="inlineStr"/>
    </row>
    <row r="224">
      <c r="A224" s="2" t="inlineStr"/>
      <c r="B224" s="2" t="inlineStr"/>
      <c r="C224" s="2" t="inlineStr"/>
      <c r="D224" s="2" t="inlineStr"/>
      <c r="E224" s="2" t="inlineStr"/>
      <c r="F224" s="5" t="n"/>
      <c r="G224" s="3" t="n"/>
      <c r="H224" s="3">
        <f>IF(OR(F224="",G224=""),"",F224*G224)</f>
        <v/>
      </c>
      <c r="I224" s="6">
        <f>IF(H224="","",H224/INFO_PROJECT!$B$22*100)</f>
        <v/>
      </c>
      <c r="J224" s="2" t="inlineStr"/>
      <c r="K224" s="2" t="inlineStr"/>
      <c r="L224" s="2" t="inlineStr"/>
    </row>
    <row r="225">
      <c r="A225" s="2" t="inlineStr"/>
      <c r="B225" s="2" t="inlineStr"/>
      <c r="C225" s="2" t="inlineStr"/>
      <c r="D225" s="2" t="inlineStr"/>
      <c r="E225" s="2" t="inlineStr"/>
      <c r="F225" s="5" t="n"/>
      <c r="G225" s="3" t="n"/>
      <c r="H225" s="3">
        <f>IF(OR(F225="",G225=""),"",F225*G225)</f>
        <v/>
      </c>
      <c r="I225" s="6">
        <f>IF(H225="","",H225/INFO_PROJECT!$B$22*100)</f>
        <v/>
      </c>
      <c r="J225" s="2" t="inlineStr"/>
      <c r="K225" s="2" t="inlineStr"/>
      <c r="L225" s="2" t="inlineStr"/>
    </row>
    <row r="226">
      <c r="A226" s="2" t="inlineStr"/>
      <c r="B226" s="2" t="inlineStr"/>
      <c r="C226" s="2" t="inlineStr"/>
      <c r="D226" s="2" t="inlineStr"/>
      <c r="E226" s="2" t="inlineStr"/>
      <c r="F226" s="5" t="n"/>
      <c r="G226" s="3" t="n"/>
      <c r="H226" s="3">
        <f>IF(OR(F226="",G226=""),"",F226*G226)</f>
        <v/>
      </c>
      <c r="I226" s="6">
        <f>IF(H226="","",H226/INFO_PROJECT!$B$22*100)</f>
        <v/>
      </c>
      <c r="J226" s="2" t="inlineStr"/>
      <c r="K226" s="2" t="inlineStr"/>
      <c r="L226" s="2" t="inlineStr"/>
    </row>
    <row r="227">
      <c r="A227" s="2" t="inlineStr"/>
      <c r="B227" s="2" t="inlineStr"/>
      <c r="C227" s="2" t="inlineStr"/>
      <c r="D227" s="2" t="inlineStr"/>
      <c r="E227" s="2" t="inlineStr"/>
      <c r="F227" s="5" t="n"/>
      <c r="G227" s="3" t="n"/>
      <c r="H227" s="3">
        <f>IF(OR(F227="",G227=""),"",F227*G227)</f>
        <v/>
      </c>
      <c r="I227" s="6">
        <f>IF(H227="","",H227/INFO_PROJECT!$B$22*100)</f>
        <v/>
      </c>
      <c r="J227" s="2" t="inlineStr"/>
      <c r="K227" s="2" t="inlineStr"/>
      <c r="L227" s="2" t="inlineStr"/>
    </row>
    <row r="228">
      <c r="A228" s="2" t="inlineStr"/>
      <c r="B228" s="2" t="inlineStr"/>
      <c r="C228" s="2" t="inlineStr"/>
      <c r="D228" s="2" t="inlineStr"/>
      <c r="E228" s="2" t="inlineStr"/>
      <c r="F228" s="5" t="n"/>
      <c r="G228" s="3" t="n"/>
      <c r="H228" s="3">
        <f>IF(OR(F228="",G228=""),"",F228*G228)</f>
        <v/>
      </c>
      <c r="I228" s="6">
        <f>IF(H228="","",H228/INFO_PROJECT!$B$22*100)</f>
        <v/>
      </c>
      <c r="J228" s="2" t="inlineStr"/>
      <c r="K228" s="2" t="inlineStr"/>
      <c r="L228" s="2" t="inlineStr"/>
    </row>
    <row r="229">
      <c r="A229" s="2" t="inlineStr"/>
      <c r="B229" s="2" t="inlineStr"/>
      <c r="C229" s="2" t="inlineStr"/>
      <c r="D229" s="2" t="inlineStr"/>
      <c r="E229" s="2" t="inlineStr"/>
      <c r="F229" s="5" t="n"/>
      <c r="G229" s="3" t="n"/>
      <c r="H229" s="3">
        <f>IF(OR(F229="",G229=""),"",F229*G229)</f>
        <v/>
      </c>
      <c r="I229" s="6">
        <f>IF(H229="","",H229/INFO_PROJECT!$B$22*100)</f>
        <v/>
      </c>
      <c r="J229" s="2" t="inlineStr"/>
      <c r="K229" s="2" t="inlineStr"/>
      <c r="L229" s="2" t="inlineStr"/>
    </row>
    <row r="230">
      <c r="A230" s="2" t="inlineStr"/>
      <c r="B230" s="2" t="inlineStr"/>
      <c r="C230" s="2" t="inlineStr"/>
      <c r="D230" s="2" t="inlineStr"/>
      <c r="E230" s="2" t="inlineStr"/>
      <c r="F230" s="5" t="n"/>
      <c r="G230" s="3" t="n"/>
      <c r="H230" s="3">
        <f>IF(OR(F230="",G230=""),"",F230*G230)</f>
        <v/>
      </c>
      <c r="I230" s="6">
        <f>IF(H230="","",H230/INFO_PROJECT!$B$22*100)</f>
        <v/>
      </c>
      <c r="J230" s="2" t="inlineStr"/>
      <c r="K230" s="2" t="inlineStr"/>
      <c r="L230" s="2" t="inlineStr"/>
    </row>
    <row r="231">
      <c r="A231" s="2" t="inlineStr"/>
      <c r="B231" s="2" t="inlineStr"/>
      <c r="C231" s="2" t="inlineStr"/>
      <c r="D231" s="2" t="inlineStr"/>
      <c r="E231" s="2" t="inlineStr"/>
      <c r="F231" s="5" t="n"/>
      <c r="G231" s="3" t="n"/>
      <c r="H231" s="3">
        <f>IF(OR(F231="",G231=""),"",F231*G231)</f>
        <v/>
      </c>
      <c r="I231" s="6">
        <f>IF(H231="","",H231/INFO_PROJECT!$B$22*100)</f>
        <v/>
      </c>
      <c r="J231" s="2" t="inlineStr"/>
      <c r="K231" s="2" t="inlineStr"/>
      <c r="L231" s="2" t="inlineStr"/>
    </row>
    <row r="232">
      <c r="A232" s="2" t="inlineStr"/>
      <c r="B232" s="2" t="inlineStr"/>
      <c r="C232" s="2" t="inlineStr"/>
      <c r="D232" s="2" t="inlineStr"/>
      <c r="E232" s="2" t="inlineStr"/>
      <c r="F232" s="5" t="n"/>
      <c r="G232" s="3" t="n"/>
      <c r="H232" s="3">
        <f>IF(OR(F232="",G232=""),"",F232*G232)</f>
        <v/>
      </c>
      <c r="I232" s="6">
        <f>IF(H232="","",H232/INFO_PROJECT!$B$22*100)</f>
        <v/>
      </c>
      <c r="J232" s="2" t="inlineStr"/>
      <c r="K232" s="2" t="inlineStr"/>
      <c r="L232" s="2" t="inlineStr"/>
    </row>
    <row r="233">
      <c r="A233" s="2" t="inlineStr"/>
      <c r="B233" s="2" t="inlineStr"/>
      <c r="C233" s="2" t="inlineStr"/>
      <c r="D233" s="2" t="inlineStr"/>
      <c r="E233" s="2" t="inlineStr"/>
      <c r="F233" s="5" t="n"/>
      <c r="G233" s="3" t="n"/>
      <c r="H233" s="3">
        <f>IF(OR(F233="",G233=""),"",F233*G233)</f>
        <v/>
      </c>
      <c r="I233" s="6">
        <f>IF(H233="","",H233/INFO_PROJECT!$B$22*100)</f>
        <v/>
      </c>
      <c r="J233" s="2" t="inlineStr"/>
      <c r="K233" s="2" t="inlineStr"/>
      <c r="L233" s="2" t="inlineStr"/>
    </row>
    <row r="234">
      <c r="A234" s="2" t="inlineStr"/>
      <c r="B234" s="2" t="inlineStr"/>
      <c r="C234" s="2" t="inlineStr"/>
      <c r="D234" s="2" t="inlineStr"/>
      <c r="E234" s="2" t="inlineStr"/>
      <c r="F234" s="5" t="n"/>
      <c r="G234" s="3" t="n"/>
      <c r="H234" s="3">
        <f>IF(OR(F234="",G234=""),"",F234*G234)</f>
        <v/>
      </c>
      <c r="I234" s="6">
        <f>IF(H234="","",H234/INFO_PROJECT!$B$22*100)</f>
        <v/>
      </c>
      <c r="J234" s="2" t="inlineStr"/>
      <c r="K234" s="2" t="inlineStr"/>
      <c r="L234" s="2" t="inlineStr"/>
    </row>
    <row r="235">
      <c r="A235" s="2" t="inlineStr"/>
      <c r="B235" s="2" t="inlineStr"/>
      <c r="C235" s="2" t="inlineStr"/>
      <c r="D235" s="2" t="inlineStr"/>
      <c r="E235" s="2" t="inlineStr"/>
      <c r="F235" s="5" t="n"/>
      <c r="G235" s="3" t="n"/>
      <c r="H235" s="3">
        <f>IF(OR(F235="",G235=""),"",F235*G235)</f>
        <v/>
      </c>
      <c r="I235" s="6">
        <f>IF(H235="","",H235/INFO_PROJECT!$B$22*100)</f>
        <v/>
      </c>
      <c r="J235" s="2" t="inlineStr"/>
      <c r="K235" s="2" t="inlineStr"/>
      <c r="L235" s="2" t="inlineStr"/>
    </row>
    <row r="236">
      <c r="A236" s="2" t="inlineStr"/>
      <c r="B236" s="2" t="inlineStr"/>
      <c r="C236" s="2" t="inlineStr"/>
      <c r="D236" s="2" t="inlineStr"/>
      <c r="E236" s="2" t="inlineStr"/>
      <c r="F236" s="5" t="n"/>
      <c r="G236" s="3" t="n"/>
      <c r="H236" s="3">
        <f>IF(OR(F236="",G236=""),"",F236*G236)</f>
        <v/>
      </c>
      <c r="I236" s="6">
        <f>IF(H236="","",H236/INFO_PROJECT!$B$22*100)</f>
        <v/>
      </c>
      <c r="J236" s="2" t="inlineStr"/>
      <c r="K236" s="2" t="inlineStr"/>
      <c r="L236" s="2" t="inlineStr"/>
    </row>
    <row r="237">
      <c r="A237" s="2" t="inlineStr"/>
      <c r="B237" s="2" t="inlineStr"/>
      <c r="C237" s="2" t="inlineStr"/>
      <c r="D237" s="2" t="inlineStr"/>
      <c r="E237" s="2" t="inlineStr"/>
      <c r="F237" s="5" t="n"/>
      <c r="G237" s="3" t="n"/>
      <c r="H237" s="3">
        <f>IF(OR(F237="",G237=""),"",F237*G237)</f>
        <v/>
      </c>
      <c r="I237" s="6">
        <f>IF(H237="","",H237/INFO_PROJECT!$B$22*100)</f>
        <v/>
      </c>
      <c r="J237" s="2" t="inlineStr"/>
      <c r="K237" s="2" t="inlineStr"/>
      <c r="L237" s="2" t="inlineStr"/>
    </row>
    <row r="238">
      <c r="A238" s="2" t="inlineStr"/>
      <c r="B238" s="2" t="inlineStr"/>
      <c r="C238" s="2" t="inlineStr"/>
      <c r="D238" s="2" t="inlineStr"/>
      <c r="E238" s="2" t="inlineStr"/>
      <c r="F238" s="5" t="n"/>
      <c r="G238" s="3" t="n"/>
      <c r="H238" s="3">
        <f>IF(OR(F238="",G238=""),"",F238*G238)</f>
        <v/>
      </c>
      <c r="I238" s="6">
        <f>IF(H238="","",H238/INFO_PROJECT!$B$22*100)</f>
        <v/>
      </c>
      <c r="J238" s="2" t="inlineStr"/>
      <c r="K238" s="2" t="inlineStr"/>
      <c r="L238" s="2" t="inlineStr"/>
    </row>
    <row r="239">
      <c r="A239" s="2" t="inlineStr"/>
      <c r="B239" s="2" t="inlineStr"/>
      <c r="C239" s="2" t="inlineStr"/>
      <c r="D239" s="2" t="inlineStr"/>
      <c r="E239" s="2" t="inlineStr"/>
      <c r="F239" s="5" t="n"/>
      <c r="G239" s="3" t="n"/>
      <c r="H239" s="3">
        <f>IF(OR(F239="",G239=""),"",F239*G239)</f>
        <v/>
      </c>
      <c r="I239" s="6">
        <f>IF(H239="","",H239/INFO_PROJECT!$B$22*100)</f>
        <v/>
      </c>
      <c r="J239" s="2" t="inlineStr"/>
      <c r="K239" s="2" t="inlineStr"/>
      <c r="L239" s="2" t="inlineStr"/>
    </row>
    <row r="240">
      <c r="A240" s="2" t="inlineStr"/>
      <c r="B240" s="2" t="inlineStr"/>
      <c r="C240" s="2" t="inlineStr"/>
      <c r="D240" s="2" t="inlineStr"/>
      <c r="E240" s="2" t="inlineStr"/>
      <c r="F240" s="5" t="n"/>
      <c r="G240" s="3" t="n"/>
      <c r="H240" s="3">
        <f>IF(OR(F240="",G240=""),"",F240*G240)</f>
        <v/>
      </c>
      <c r="I240" s="6">
        <f>IF(H240="","",H240/INFO_PROJECT!$B$22*100)</f>
        <v/>
      </c>
      <c r="J240" s="2" t="inlineStr"/>
      <c r="K240" s="2" t="inlineStr"/>
      <c r="L240" s="2" t="inlineStr"/>
    </row>
    <row r="241">
      <c r="A241" s="2" t="inlineStr"/>
      <c r="B241" s="2" t="inlineStr"/>
      <c r="C241" s="2" t="inlineStr"/>
      <c r="D241" s="2" t="inlineStr"/>
      <c r="E241" s="2" t="inlineStr"/>
      <c r="F241" s="5" t="n"/>
      <c r="G241" s="3" t="n"/>
      <c r="H241" s="3">
        <f>IF(OR(F241="",G241=""),"",F241*G241)</f>
        <v/>
      </c>
      <c r="I241" s="6">
        <f>IF(H241="","",H241/INFO_PROJECT!$B$22*100)</f>
        <v/>
      </c>
      <c r="J241" s="2" t="inlineStr"/>
      <c r="K241" s="2" t="inlineStr"/>
      <c r="L241" s="2" t="inlineStr"/>
    </row>
    <row r="242">
      <c r="A242" s="2" t="inlineStr"/>
      <c r="B242" s="2" t="inlineStr"/>
      <c r="C242" s="2" t="inlineStr"/>
      <c r="D242" s="2" t="inlineStr"/>
      <c r="E242" s="2" t="inlineStr"/>
      <c r="F242" s="5" t="n"/>
      <c r="G242" s="3" t="n"/>
      <c r="H242" s="3">
        <f>IF(OR(F242="",G242=""),"",F242*G242)</f>
        <v/>
      </c>
      <c r="I242" s="6">
        <f>IF(H242="","",H242/INFO_PROJECT!$B$22*100)</f>
        <v/>
      </c>
      <c r="J242" s="2" t="inlineStr"/>
      <c r="K242" s="2" t="inlineStr"/>
      <c r="L242" s="2" t="inlineStr"/>
    </row>
    <row r="243">
      <c r="A243" s="2" t="inlineStr"/>
      <c r="B243" s="2" t="inlineStr"/>
      <c r="C243" s="2" t="inlineStr"/>
      <c r="D243" s="2" t="inlineStr"/>
      <c r="E243" s="2" t="inlineStr"/>
      <c r="F243" s="5" t="n"/>
      <c r="G243" s="3" t="n"/>
      <c r="H243" s="3">
        <f>IF(OR(F243="",G243=""),"",F243*G243)</f>
        <v/>
      </c>
      <c r="I243" s="6">
        <f>IF(H243="","",H243/INFO_PROJECT!$B$22*100)</f>
        <v/>
      </c>
      <c r="J243" s="2" t="inlineStr"/>
      <c r="K243" s="2" t="inlineStr"/>
      <c r="L243" s="2" t="inlineStr"/>
    </row>
    <row r="244">
      <c r="A244" s="2" t="inlineStr"/>
      <c r="B244" s="2" t="inlineStr"/>
      <c r="C244" s="2" t="inlineStr"/>
      <c r="D244" s="2" t="inlineStr"/>
      <c r="E244" s="2" t="inlineStr"/>
      <c r="F244" s="5" t="n"/>
      <c r="G244" s="3" t="n"/>
      <c r="H244" s="3">
        <f>IF(OR(F244="",G244=""),"",F244*G244)</f>
        <v/>
      </c>
      <c r="I244" s="6">
        <f>IF(H244="","",H244/INFO_PROJECT!$B$22*100)</f>
        <v/>
      </c>
      <c r="J244" s="2" t="inlineStr"/>
      <c r="K244" s="2" t="inlineStr"/>
      <c r="L244" s="2" t="inlineStr"/>
    </row>
    <row r="245">
      <c r="A245" s="2" t="inlineStr"/>
      <c r="B245" s="2" t="inlineStr"/>
      <c r="C245" s="2" t="inlineStr"/>
      <c r="D245" s="2" t="inlineStr"/>
      <c r="E245" s="2" t="inlineStr"/>
      <c r="F245" s="5" t="n"/>
      <c r="G245" s="3" t="n"/>
      <c r="H245" s="3">
        <f>IF(OR(F245="",G245=""),"",F245*G245)</f>
        <v/>
      </c>
      <c r="I245" s="6">
        <f>IF(H245="","",H245/INFO_PROJECT!$B$22*100)</f>
        <v/>
      </c>
      <c r="J245" s="2" t="inlineStr"/>
      <c r="K245" s="2" t="inlineStr"/>
      <c r="L245" s="2" t="inlineStr"/>
    </row>
    <row r="246">
      <c r="A246" s="2" t="inlineStr"/>
      <c r="B246" s="2" t="inlineStr"/>
      <c r="C246" s="2" t="inlineStr"/>
      <c r="D246" s="2" t="inlineStr"/>
      <c r="E246" s="2" t="inlineStr"/>
      <c r="F246" s="5" t="n"/>
      <c r="G246" s="3" t="n"/>
      <c r="H246" s="3">
        <f>IF(OR(F246="",G246=""),"",F246*G246)</f>
        <v/>
      </c>
      <c r="I246" s="6">
        <f>IF(H246="","",H246/INFO_PROJECT!$B$22*100)</f>
        <v/>
      </c>
      <c r="J246" s="2" t="inlineStr"/>
      <c r="K246" s="2" t="inlineStr"/>
      <c r="L246" s="2" t="inlineStr"/>
    </row>
    <row r="247">
      <c r="A247" s="2" t="inlineStr"/>
      <c r="B247" s="2" t="inlineStr"/>
      <c r="C247" s="2" t="inlineStr"/>
      <c r="D247" s="2" t="inlineStr"/>
      <c r="E247" s="2" t="inlineStr"/>
      <c r="F247" s="5" t="n"/>
      <c r="G247" s="3" t="n"/>
      <c r="H247" s="3">
        <f>IF(OR(F247="",G247=""),"",F247*G247)</f>
        <v/>
      </c>
      <c r="I247" s="6">
        <f>IF(H247="","",H247/INFO_PROJECT!$B$22*100)</f>
        <v/>
      </c>
      <c r="J247" s="2" t="inlineStr"/>
      <c r="K247" s="2" t="inlineStr"/>
      <c r="L247" s="2" t="inlineStr"/>
    </row>
    <row r="248">
      <c r="A248" s="2" t="inlineStr"/>
      <c r="B248" s="2" t="inlineStr"/>
      <c r="C248" s="2" t="inlineStr"/>
      <c r="D248" s="2" t="inlineStr"/>
      <c r="E248" s="2" t="inlineStr"/>
      <c r="F248" s="5" t="n"/>
      <c r="G248" s="3" t="n"/>
      <c r="H248" s="3">
        <f>IF(OR(F248="",G248=""),"",F248*G248)</f>
        <v/>
      </c>
      <c r="I248" s="6">
        <f>IF(H248="","",H248/INFO_PROJECT!$B$22*100)</f>
        <v/>
      </c>
      <c r="J248" s="2" t="inlineStr"/>
      <c r="K248" s="2" t="inlineStr"/>
      <c r="L248" s="2" t="inlineStr"/>
    </row>
    <row r="249">
      <c r="A249" s="2" t="inlineStr"/>
      <c r="B249" s="2" t="inlineStr"/>
      <c r="C249" s="2" t="inlineStr"/>
      <c r="D249" s="2" t="inlineStr"/>
      <c r="E249" s="2" t="inlineStr"/>
      <c r="F249" s="5" t="n"/>
      <c r="G249" s="3" t="n"/>
      <c r="H249" s="3">
        <f>IF(OR(F249="",G249=""),"",F249*G249)</f>
        <v/>
      </c>
      <c r="I249" s="6">
        <f>IF(H249="","",H249/INFO_PROJECT!$B$22*100)</f>
        <v/>
      </c>
      <c r="J249" s="2" t="inlineStr"/>
      <c r="K249" s="2" t="inlineStr"/>
      <c r="L249" s="2" t="inlineStr"/>
    </row>
    <row r="250">
      <c r="A250" s="2" t="inlineStr"/>
      <c r="B250" s="2" t="inlineStr"/>
      <c r="C250" s="2" t="inlineStr"/>
      <c r="D250" s="2" t="inlineStr"/>
      <c r="E250" s="2" t="inlineStr"/>
      <c r="F250" s="5" t="n"/>
      <c r="G250" s="3" t="n"/>
      <c r="H250" s="3">
        <f>IF(OR(F250="",G250=""),"",F250*G250)</f>
        <v/>
      </c>
      <c r="I250" s="6">
        <f>IF(H250="","",H250/INFO_PROJECT!$B$22*100)</f>
        <v/>
      </c>
      <c r="J250" s="2" t="inlineStr"/>
      <c r="K250" s="2" t="inlineStr"/>
      <c r="L250" s="2" t="inlineStr"/>
    </row>
    <row r="251">
      <c r="A251" s="2" t="inlineStr"/>
      <c r="B251" s="2" t="inlineStr"/>
      <c r="C251" s="2" t="inlineStr"/>
      <c r="D251" s="2" t="inlineStr"/>
      <c r="E251" s="2" t="inlineStr"/>
      <c r="F251" s="5" t="n"/>
      <c r="G251" s="3" t="n"/>
      <c r="H251" s="3">
        <f>IF(OR(F251="",G251=""),"",F251*G251)</f>
        <v/>
      </c>
      <c r="I251" s="6">
        <f>IF(H251="","",H251/INFO_PROJECT!$B$22*100)</f>
        <v/>
      </c>
      <c r="J251" s="2" t="inlineStr"/>
      <c r="K251" s="2" t="inlineStr"/>
      <c r="L251" s="2" t="inlineStr"/>
    </row>
    <row r="252">
      <c r="A252" s="2" t="inlineStr"/>
      <c r="B252" s="2" t="inlineStr"/>
      <c r="C252" s="2" t="inlineStr"/>
      <c r="D252" s="2" t="inlineStr"/>
      <c r="E252" s="2" t="inlineStr"/>
      <c r="F252" s="5" t="n"/>
      <c r="G252" s="3" t="n"/>
      <c r="H252" s="3">
        <f>IF(OR(F252="",G252=""),"",F252*G252)</f>
        <v/>
      </c>
      <c r="I252" s="6">
        <f>IF(H252="","",H252/INFO_PROJECT!$B$22*100)</f>
        <v/>
      </c>
      <c r="J252" s="2" t="inlineStr"/>
      <c r="K252" s="2" t="inlineStr"/>
      <c r="L252" s="2" t="inlineStr"/>
    </row>
    <row r="253">
      <c r="A253" s="2" t="inlineStr"/>
      <c r="B253" s="2" t="inlineStr"/>
      <c r="C253" s="2" t="inlineStr"/>
      <c r="D253" s="2" t="inlineStr"/>
      <c r="E253" s="2" t="inlineStr"/>
      <c r="F253" s="5" t="n"/>
      <c r="G253" s="3" t="n"/>
      <c r="H253" s="3">
        <f>IF(OR(F253="",G253=""),"",F253*G253)</f>
        <v/>
      </c>
      <c r="I253" s="6">
        <f>IF(H253="","",H253/INFO_PROJECT!$B$22*100)</f>
        <v/>
      </c>
      <c r="J253" s="2" t="inlineStr"/>
      <c r="K253" s="2" t="inlineStr"/>
      <c r="L253" s="2" t="inlineStr"/>
    </row>
    <row r="254">
      <c r="A254" s="2" t="inlineStr"/>
      <c r="B254" s="2" t="inlineStr"/>
      <c r="C254" s="2" t="inlineStr"/>
      <c r="D254" s="2" t="inlineStr"/>
      <c r="E254" s="2" t="inlineStr"/>
      <c r="F254" s="5" t="n"/>
      <c r="G254" s="3" t="n"/>
      <c r="H254" s="3">
        <f>IF(OR(F254="",G254=""),"",F254*G254)</f>
        <v/>
      </c>
      <c r="I254" s="6">
        <f>IF(H254="","",H254/INFO_PROJECT!$B$22*100)</f>
        <v/>
      </c>
      <c r="J254" s="2" t="inlineStr"/>
      <c r="K254" s="2" t="inlineStr"/>
      <c r="L254" s="2" t="inlineStr"/>
    </row>
    <row r="255">
      <c r="A255" s="2" t="inlineStr"/>
      <c r="B255" s="2" t="inlineStr"/>
      <c r="C255" s="2" t="inlineStr"/>
      <c r="D255" s="2" t="inlineStr"/>
      <c r="E255" s="2" t="inlineStr"/>
      <c r="F255" s="5" t="n"/>
      <c r="G255" s="3" t="n"/>
      <c r="H255" s="3">
        <f>IF(OR(F255="",G255=""),"",F255*G255)</f>
        <v/>
      </c>
      <c r="I255" s="6">
        <f>IF(H255="","",H255/INFO_PROJECT!$B$22*100)</f>
        <v/>
      </c>
      <c r="J255" s="2" t="inlineStr"/>
      <c r="K255" s="2" t="inlineStr"/>
      <c r="L255" s="2" t="inlineStr"/>
    </row>
    <row r="256">
      <c r="A256" s="2" t="inlineStr"/>
      <c r="B256" s="2" t="inlineStr"/>
      <c r="C256" s="2" t="inlineStr"/>
      <c r="D256" s="2" t="inlineStr"/>
      <c r="E256" s="2" t="inlineStr"/>
      <c r="F256" s="5" t="n"/>
      <c r="G256" s="3" t="n"/>
      <c r="H256" s="3">
        <f>IF(OR(F256="",G256=""),"",F256*G256)</f>
        <v/>
      </c>
      <c r="I256" s="6">
        <f>IF(H256="","",H256/INFO_PROJECT!$B$22*100)</f>
        <v/>
      </c>
      <c r="J256" s="2" t="inlineStr"/>
      <c r="K256" s="2" t="inlineStr"/>
      <c r="L256" s="2" t="inlineStr"/>
    </row>
    <row r="257">
      <c r="A257" s="2" t="inlineStr"/>
      <c r="B257" s="2" t="inlineStr"/>
      <c r="C257" s="2" t="inlineStr"/>
      <c r="D257" s="2" t="inlineStr"/>
      <c r="E257" s="2" t="inlineStr"/>
      <c r="F257" s="5" t="n"/>
      <c r="G257" s="3" t="n"/>
      <c r="H257" s="3">
        <f>IF(OR(F257="",G257=""),"",F257*G257)</f>
        <v/>
      </c>
      <c r="I257" s="6">
        <f>IF(H257="","",H257/INFO_PROJECT!$B$22*100)</f>
        <v/>
      </c>
      <c r="J257" s="2" t="inlineStr"/>
      <c r="K257" s="2" t="inlineStr"/>
      <c r="L257" s="2" t="inlineStr"/>
    </row>
    <row r="258">
      <c r="A258" s="2" t="inlineStr"/>
      <c r="B258" s="2" t="inlineStr"/>
      <c r="C258" s="2" t="inlineStr"/>
      <c r="D258" s="2" t="inlineStr"/>
      <c r="E258" s="2" t="inlineStr"/>
      <c r="F258" s="5" t="n"/>
      <c r="G258" s="3" t="n"/>
      <c r="H258" s="3">
        <f>IF(OR(F258="",G258=""),"",F258*G258)</f>
        <v/>
      </c>
      <c r="I258" s="6">
        <f>IF(H258="","",H258/INFO_PROJECT!$B$22*100)</f>
        <v/>
      </c>
      <c r="J258" s="2" t="inlineStr"/>
      <c r="K258" s="2" t="inlineStr"/>
      <c r="L258" s="2" t="inlineStr"/>
    </row>
    <row r="259">
      <c r="A259" s="2" t="inlineStr"/>
      <c r="B259" s="2" t="inlineStr"/>
      <c r="C259" s="2" t="inlineStr"/>
      <c r="D259" s="2" t="inlineStr"/>
      <c r="E259" s="2" t="inlineStr"/>
      <c r="F259" s="5" t="n"/>
      <c r="G259" s="3" t="n"/>
      <c r="H259" s="3">
        <f>IF(OR(F259="",G259=""),"",F259*G259)</f>
        <v/>
      </c>
      <c r="I259" s="6">
        <f>IF(H259="","",H259/INFO_PROJECT!$B$22*100)</f>
        <v/>
      </c>
      <c r="J259" s="2" t="inlineStr"/>
      <c r="K259" s="2" t="inlineStr"/>
      <c r="L259" s="2" t="inlineStr"/>
    </row>
    <row r="260">
      <c r="A260" s="2" t="inlineStr"/>
      <c r="B260" s="2" t="inlineStr"/>
      <c r="C260" s="2" t="inlineStr"/>
      <c r="D260" s="2" t="inlineStr"/>
      <c r="E260" s="2" t="inlineStr"/>
      <c r="F260" s="5" t="n"/>
      <c r="G260" s="3" t="n"/>
      <c r="H260" s="3">
        <f>IF(OR(F260="",G260=""),"",F260*G260)</f>
        <v/>
      </c>
      <c r="I260" s="6">
        <f>IF(H260="","",H260/INFO_PROJECT!$B$22*100)</f>
        <v/>
      </c>
      <c r="J260" s="2" t="inlineStr"/>
      <c r="K260" s="2" t="inlineStr"/>
      <c r="L260" s="2" t="inlineStr"/>
    </row>
    <row r="261">
      <c r="A261" s="2" t="inlineStr"/>
      <c r="B261" s="2" t="inlineStr"/>
      <c r="C261" s="2" t="inlineStr"/>
      <c r="D261" s="2" t="inlineStr"/>
      <c r="E261" s="2" t="inlineStr"/>
      <c r="F261" s="5" t="n"/>
      <c r="G261" s="3" t="n"/>
      <c r="H261" s="3">
        <f>IF(OR(F261="",G261=""),"",F261*G261)</f>
        <v/>
      </c>
      <c r="I261" s="6">
        <f>IF(H261="","",H261/INFO_PROJECT!$B$22*100)</f>
        <v/>
      </c>
      <c r="J261" s="2" t="inlineStr"/>
      <c r="K261" s="2" t="inlineStr"/>
      <c r="L261" s="2" t="inlineStr"/>
    </row>
    <row r="262">
      <c r="A262" s="2" t="inlineStr"/>
      <c r="B262" s="2" t="inlineStr"/>
      <c r="C262" s="2" t="inlineStr"/>
      <c r="D262" s="2" t="inlineStr"/>
      <c r="E262" s="2" t="inlineStr"/>
      <c r="F262" s="5" t="n"/>
      <c r="G262" s="3" t="n"/>
      <c r="H262" s="3">
        <f>IF(OR(F262="",G262=""),"",F262*G262)</f>
        <v/>
      </c>
      <c r="I262" s="6">
        <f>IF(H262="","",H262/INFO_PROJECT!$B$22*100)</f>
        <v/>
      </c>
      <c r="J262" s="2" t="inlineStr"/>
      <c r="K262" s="2" t="inlineStr"/>
      <c r="L262" s="2" t="inlineStr"/>
    </row>
    <row r="263">
      <c r="A263" s="2" t="inlineStr"/>
      <c r="B263" s="2" t="inlineStr"/>
      <c r="C263" s="2" t="inlineStr"/>
      <c r="D263" s="2" t="inlineStr"/>
      <c r="E263" s="2" t="inlineStr"/>
      <c r="F263" s="5" t="n"/>
      <c r="G263" s="3" t="n"/>
      <c r="H263" s="3">
        <f>IF(OR(F263="",G263=""),"",F263*G263)</f>
        <v/>
      </c>
      <c r="I263" s="6">
        <f>IF(H263="","",H263/INFO_PROJECT!$B$22*100)</f>
        <v/>
      </c>
      <c r="J263" s="2" t="inlineStr"/>
      <c r="K263" s="2" t="inlineStr"/>
      <c r="L263" s="2" t="inlineStr"/>
    </row>
    <row r="264">
      <c r="A264" s="2" t="inlineStr"/>
      <c r="B264" s="2" t="inlineStr"/>
      <c r="C264" s="2" t="inlineStr"/>
      <c r="D264" s="2" t="inlineStr"/>
      <c r="E264" s="2" t="inlineStr"/>
      <c r="F264" s="5" t="n"/>
      <c r="G264" s="3" t="n"/>
      <c r="H264" s="3">
        <f>IF(OR(F264="",G264=""),"",F264*G264)</f>
        <v/>
      </c>
      <c r="I264" s="6">
        <f>IF(H264="","",H264/INFO_PROJECT!$B$22*100)</f>
        <v/>
      </c>
      <c r="J264" s="2" t="inlineStr"/>
      <c r="K264" s="2" t="inlineStr"/>
      <c r="L264" s="2" t="inlineStr"/>
    </row>
    <row r="265">
      <c r="A265" s="2" t="inlineStr"/>
      <c r="B265" s="2" t="inlineStr"/>
      <c r="C265" s="2" t="inlineStr"/>
      <c r="D265" s="2" t="inlineStr"/>
      <c r="E265" s="2" t="inlineStr"/>
      <c r="F265" s="5" t="n"/>
      <c r="G265" s="3" t="n"/>
      <c r="H265" s="3">
        <f>IF(OR(F265="",G265=""),"",F265*G265)</f>
        <v/>
      </c>
      <c r="I265" s="6">
        <f>IF(H265="","",H265/INFO_PROJECT!$B$22*100)</f>
        <v/>
      </c>
      <c r="J265" s="2" t="inlineStr"/>
      <c r="K265" s="2" t="inlineStr"/>
      <c r="L265" s="2" t="inlineStr"/>
    </row>
    <row r="266">
      <c r="A266" s="2" t="inlineStr"/>
      <c r="B266" s="2" t="inlineStr"/>
      <c r="C266" s="2" t="inlineStr"/>
      <c r="D266" s="2" t="inlineStr"/>
      <c r="E266" s="2" t="inlineStr"/>
      <c r="F266" s="5" t="n"/>
      <c r="G266" s="3" t="n"/>
      <c r="H266" s="3">
        <f>IF(OR(F266="",G266=""),"",F266*G266)</f>
        <v/>
      </c>
      <c r="I266" s="6">
        <f>IF(H266="","",H266/INFO_PROJECT!$B$22*100)</f>
        <v/>
      </c>
      <c r="J266" s="2" t="inlineStr"/>
      <c r="K266" s="2" t="inlineStr"/>
      <c r="L266" s="2" t="inlineStr"/>
    </row>
    <row r="267">
      <c r="A267" s="2" t="inlineStr"/>
      <c r="B267" s="2" t="inlineStr"/>
      <c r="C267" s="2" t="inlineStr"/>
      <c r="D267" s="2" t="inlineStr"/>
      <c r="E267" s="2" t="inlineStr"/>
      <c r="F267" s="5" t="n"/>
      <c r="G267" s="3" t="n"/>
      <c r="H267" s="3">
        <f>IF(OR(F267="",G267=""),"",F267*G267)</f>
        <v/>
      </c>
      <c r="I267" s="6">
        <f>IF(H267="","",H267/INFO_PROJECT!$B$22*100)</f>
        <v/>
      </c>
      <c r="J267" s="2" t="inlineStr"/>
      <c r="K267" s="2" t="inlineStr"/>
      <c r="L267" s="2" t="inlineStr"/>
    </row>
    <row r="268">
      <c r="A268" s="2" t="inlineStr"/>
      <c r="B268" s="2" t="inlineStr"/>
      <c r="C268" s="2" t="inlineStr"/>
      <c r="D268" s="2" t="inlineStr"/>
      <c r="E268" s="2" t="inlineStr"/>
      <c r="F268" s="5" t="n"/>
      <c r="G268" s="3" t="n"/>
      <c r="H268" s="3">
        <f>IF(OR(F268="",G268=""),"",F268*G268)</f>
        <v/>
      </c>
      <c r="I268" s="6">
        <f>IF(H268="","",H268/INFO_PROJECT!$B$22*100)</f>
        <v/>
      </c>
      <c r="J268" s="2" t="inlineStr"/>
      <c r="K268" s="2" t="inlineStr"/>
      <c r="L268" s="2" t="inlineStr"/>
    </row>
    <row r="269">
      <c r="A269" s="2" t="inlineStr"/>
      <c r="B269" s="2" t="inlineStr"/>
      <c r="C269" s="2" t="inlineStr"/>
      <c r="D269" s="2" t="inlineStr"/>
      <c r="E269" s="2" t="inlineStr"/>
      <c r="F269" s="5" t="n"/>
      <c r="G269" s="3" t="n"/>
      <c r="H269" s="3">
        <f>IF(OR(F269="",G269=""),"",F269*G269)</f>
        <v/>
      </c>
      <c r="I269" s="6">
        <f>IF(H269="","",H269/INFO_PROJECT!$B$22*100)</f>
        <v/>
      </c>
      <c r="J269" s="2" t="inlineStr"/>
      <c r="K269" s="2" t="inlineStr"/>
      <c r="L269" s="2" t="inlineStr"/>
    </row>
    <row r="270">
      <c r="A270" s="2" t="inlineStr"/>
      <c r="B270" s="2" t="inlineStr"/>
      <c r="C270" s="2" t="inlineStr"/>
      <c r="D270" s="2" t="inlineStr"/>
      <c r="E270" s="2" t="inlineStr"/>
      <c r="F270" s="5" t="n"/>
      <c r="G270" s="3" t="n"/>
      <c r="H270" s="3">
        <f>IF(OR(F270="",G270=""),"",F270*G270)</f>
        <v/>
      </c>
      <c r="I270" s="6">
        <f>IF(H270="","",H270/INFO_PROJECT!$B$22*100)</f>
        <v/>
      </c>
      <c r="J270" s="2" t="inlineStr"/>
      <c r="K270" s="2" t="inlineStr"/>
      <c r="L270" s="2" t="inlineStr"/>
    </row>
    <row r="271">
      <c r="A271" s="2" t="inlineStr"/>
      <c r="B271" s="2" t="inlineStr"/>
      <c r="C271" s="2" t="inlineStr"/>
      <c r="D271" s="2" t="inlineStr"/>
      <c r="E271" s="2" t="inlineStr"/>
      <c r="F271" s="5" t="n"/>
      <c r="G271" s="3" t="n"/>
      <c r="H271" s="3">
        <f>IF(OR(F271="",G271=""),"",F271*G271)</f>
        <v/>
      </c>
      <c r="I271" s="6">
        <f>IF(H271="","",H271/INFO_PROJECT!$B$22*100)</f>
        <v/>
      </c>
      <c r="J271" s="2" t="inlineStr"/>
      <c r="K271" s="2" t="inlineStr"/>
      <c r="L271" s="2" t="inlineStr"/>
    </row>
    <row r="272">
      <c r="A272" s="2" t="inlineStr"/>
      <c r="B272" s="2" t="inlineStr"/>
      <c r="C272" s="2" t="inlineStr"/>
      <c r="D272" s="2" t="inlineStr"/>
      <c r="E272" s="2" t="inlineStr"/>
      <c r="F272" s="5" t="n"/>
      <c r="G272" s="3" t="n"/>
      <c r="H272" s="3">
        <f>IF(OR(F272="",G272=""),"",F272*G272)</f>
        <v/>
      </c>
      <c r="I272" s="6">
        <f>IF(H272="","",H272/INFO_PROJECT!$B$22*100)</f>
        <v/>
      </c>
      <c r="J272" s="2" t="inlineStr"/>
      <c r="K272" s="2" t="inlineStr"/>
      <c r="L272" s="2" t="inlineStr"/>
    </row>
    <row r="273">
      <c r="A273" s="2" t="inlineStr"/>
      <c r="B273" s="2" t="inlineStr"/>
      <c r="C273" s="2" t="inlineStr"/>
      <c r="D273" s="2" t="inlineStr"/>
      <c r="E273" s="2" t="inlineStr"/>
      <c r="F273" s="5" t="n"/>
      <c r="G273" s="3" t="n"/>
      <c r="H273" s="3">
        <f>IF(OR(F273="",G273=""),"",F273*G273)</f>
        <v/>
      </c>
      <c r="I273" s="6">
        <f>IF(H273="","",H273/INFO_PROJECT!$B$22*100)</f>
        <v/>
      </c>
      <c r="J273" s="2" t="inlineStr"/>
      <c r="K273" s="2" t="inlineStr"/>
      <c r="L273" s="2" t="inlineStr"/>
    </row>
    <row r="274">
      <c r="A274" s="2" t="inlineStr"/>
      <c r="B274" s="2" t="inlineStr"/>
      <c r="C274" s="2" t="inlineStr"/>
      <c r="D274" s="2" t="inlineStr"/>
      <c r="E274" s="2" t="inlineStr"/>
      <c r="F274" s="5" t="n"/>
      <c r="G274" s="3" t="n"/>
      <c r="H274" s="3">
        <f>IF(OR(F274="",G274=""),"",F274*G274)</f>
        <v/>
      </c>
      <c r="I274" s="6">
        <f>IF(H274="","",H274/INFO_PROJECT!$B$22*100)</f>
        <v/>
      </c>
      <c r="J274" s="2" t="inlineStr"/>
      <c r="K274" s="2" t="inlineStr"/>
      <c r="L274" s="2" t="inlineStr"/>
    </row>
    <row r="275">
      <c r="A275" s="2" t="inlineStr"/>
      <c r="B275" s="2" t="inlineStr"/>
      <c r="C275" s="2" t="inlineStr"/>
      <c r="D275" s="2" t="inlineStr"/>
      <c r="E275" s="2" t="inlineStr"/>
      <c r="F275" s="5" t="n"/>
      <c r="G275" s="3" t="n"/>
      <c r="H275" s="3">
        <f>IF(OR(F275="",G275=""),"",F275*G275)</f>
        <v/>
      </c>
      <c r="I275" s="6">
        <f>IF(H275="","",H275/INFO_PROJECT!$B$22*100)</f>
        <v/>
      </c>
      <c r="J275" s="2" t="inlineStr"/>
      <c r="K275" s="2" t="inlineStr"/>
      <c r="L275" s="2" t="inlineStr"/>
    </row>
    <row r="276">
      <c r="A276" s="2" t="inlineStr"/>
      <c r="B276" s="2" t="inlineStr"/>
      <c r="C276" s="2" t="inlineStr"/>
      <c r="D276" s="2" t="inlineStr"/>
      <c r="E276" s="2" t="inlineStr"/>
      <c r="F276" s="5" t="n"/>
      <c r="G276" s="3" t="n"/>
      <c r="H276" s="3">
        <f>IF(OR(F276="",G276=""),"",F276*G276)</f>
        <v/>
      </c>
      <c r="I276" s="6">
        <f>IF(H276="","",H276/INFO_PROJECT!$B$22*100)</f>
        <v/>
      </c>
      <c r="J276" s="2" t="inlineStr"/>
      <c r="K276" s="2" t="inlineStr"/>
      <c r="L276" s="2" t="inlineStr"/>
    </row>
    <row r="277">
      <c r="A277" s="2" t="inlineStr"/>
      <c r="B277" s="2" t="inlineStr"/>
      <c r="C277" s="2" t="inlineStr"/>
      <c r="D277" s="2" t="inlineStr"/>
      <c r="E277" s="2" t="inlineStr"/>
      <c r="F277" s="5" t="n"/>
      <c r="G277" s="3" t="n"/>
      <c r="H277" s="3">
        <f>IF(OR(F277="",G277=""),"",F277*G277)</f>
        <v/>
      </c>
      <c r="I277" s="6">
        <f>IF(H277="","",H277/INFO_PROJECT!$B$22*100)</f>
        <v/>
      </c>
      <c r="J277" s="2" t="inlineStr"/>
      <c r="K277" s="2" t="inlineStr"/>
      <c r="L277" s="2" t="inlineStr"/>
    </row>
    <row r="278">
      <c r="A278" s="2" t="inlineStr"/>
      <c r="B278" s="2" t="inlineStr"/>
      <c r="C278" s="2" t="inlineStr"/>
      <c r="D278" s="2" t="inlineStr"/>
      <c r="E278" s="2" t="inlineStr"/>
      <c r="F278" s="5" t="n"/>
      <c r="G278" s="3" t="n"/>
      <c r="H278" s="3">
        <f>IF(OR(F278="",G278=""),"",F278*G278)</f>
        <v/>
      </c>
      <c r="I278" s="6">
        <f>IF(H278="","",H278/INFO_PROJECT!$B$22*100)</f>
        <v/>
      </c>
      <c r="J278" s="2" t="inlineStr"/>
      <c r="K278" s="2" t="inlineStr"/>
      <c r="L278" s="2" t="inlineStr"/>
    </row>
    <row r="279">
      <c r="A279" s="2" t="inlineStr"/>
      <c r="B279" s="2" t="inlineStr"/>
      <c r="C279" s="2" t="inlineStr"/>
      <c r="D279" s="2" t="inlineStr"/>
      <c r="E279" s="2" t="inlineStr"/>
      <c r="F279" s="5" t="n"/>
      <c r="G279" s="3" t="n"/>
      <c r="H279" s="3">
        <f>IF(OR(F279="",G279=""),"",F279*G279)</f>
        <v/>
      </c>
      <c r="I279" s="6">
        <f>IF(H279="","",H279/INFO_PROJECT!$B$22*100)</f>
        <v/>
      </c>
      <c r="J279" s="2" t="inlineStr"/>
      <c r="K279" s="2" t="inlineStr"/>
      <c r="L279" s="2" t="inlineStr"/>
    </row>
    <row r="280">
      <c r="A280" s="2" t="inlineStr"/>
      <c r="B280" s="2" t="inlineStr"/>
      <c r="C280" s="2" t="inlineStr"/>
      <c r="D280" s="2" t="inlineStr"/>
      <c r="E280" s="2" t="inlineStr"/>
      <c r="F280" s="5" t="n"/>
      <c r="G280" s="3" t="n"/>
      <c r="H280" s="3">
        <f>IF(OR(F280="",G280=""),"",F280*G280)</f>
        <v/>
      </c>
      <c r="I280" s="6">
        <f>IF(H280="","",H280/INFO_PROJECT!$B$22*100)</f>
        <v/>
      </c>
      <c r="J280" s="2" t="inlineStr"/>
      <c r="K280" s="2" t="inlineStr"/>
      <c r="L280" s="2" t="inlineStr"/>
    </row>
    <row r="281">
      <c r="A281" s="2" t="inlineStr"/>
      <c r="B281" s="2" t="inlineStr"/>
      <c r="C281" s="2" t="inlineStr"/>
      <c r="D281" s="2" t="inlineStr"/>
      <c r="E281" s="2" t="inlineStr"/>
      <c r="F281" s="5" t="n"/>
      <c r="G281" s="3" t="n"/>
      <c r="H281" s="3">
        <f>IF(OR(F281="",G281=""),"",F281*G281)</f>
        <v/>
      </c>
      <c r="I281" s="6">
        <f>IF(H281="","",H281/INFO_PROJECT!$B$22*100)</f>
        <v/>
      </c>
      <c r="J281" s="2" t="inlineStr"/>
      <c r="K281" s="2" t="inlineStr"/>
      <c r="L281" s="2" t="inlineStr"/>
    </row>
    <row r="282">
      <c r="A282" s="2" t="inlineStr"/>
      <c r="B282" s="2" t="inlineStr"/>
      <c r="C282" s="2" t="inlineStr"/>
      <c r="D282" s="2" t="inlineStr"/>
      <c r="E282" s="2" t="inlineStr"/>
      <c r="F282" s="5" t="n"/>
      <c r="G282" s="3" t="n"/>
      <c r="H282" s="3">
        <f>IF(OR(F282="",G282=""),"",F282*G282)</f>
        <v/>
      </c>
      <c r="I282" s="6">
        <f>IF(H282="","",H282/INFO_PROJECT!$B$22*100)</f>
        <v/>
      </c>
      <c r="J282" s="2" t="inlineStr"/>
      <c r="K282" s="2" t="inlineStr"/>
      <c r="L282" s="2" t="inlineStr"/>
    </row>
    <row r="283">
      <c r="A283" s="2" t="inlineStr"/>
      <c r="B283" s="2" t="inlineStr"/>
      <c r="C283" s="2" t="inlineStr"/>
      <c r="D283" s="2" t="inlineStr"/>
      <c r="E283" s="2" t="inlineStr"/>
      <c r="F283" s="5" t="n"/>
      <c r="G283" s="3" t="n"/>
      <c r="H283" s="3">
        <f>IF(OR(F283="",G283=""),"",F283*G283)</f>
        <v/>
      </c>
      <c r="I283" s="6">
        <f>IF(H283="","",H283/INFO_PROJECT!$B$22*100)</f>
        <v/>
      </c>
      <c r="J283" s="2" t="inlineStr"/>
      <c r="K283" s="2" t="inlineStr"/>
      <c r="L283" s="2" t="inlineStr"/>
    </row>
    <row r="284">
      <c r="A284" s="2" t="inlineStr"/>
      <c r="B284" s="2" t="inlineStr"/>
      <c r="C284" s="2" t="inlineStr"/>
      <c r="D284" s="2" t="inlineStr"/>
      <c r="E284" s="2" t="inlineStr"/>
      <c r="F284" s="5" t="n"/>
      <c r="G284" s="3" t="n"/>
      <c r="H284" s="3">
        <f>IF(OR(F284="",G284=""),"",F284*G284)</f>
        <v/>
      </c>
      <c r="I284" s="6">
        <f>IF(H284="","",H284/INFO_PROJECT!$B$22*100)</f>
        <v/>
      </c>
      <c r="J284" s="2" t="inlineStr"/>
      <c r="K284" s="2" t="inlineStr"/>
      <c r="L284" s="2" t="inlineStr"/>
    </row>
    <row r="285">
      <c r="A285" s="2" t="inlineStr"/>
      <c r="B285" s="2" t="inlineStr"/>
      <c r="C285" s="2" t="inlineStr"/>
      <c r="D285" s="2" t="inlineStr"/>
      <c r="E285" s="2" t="inlineStr"/>
      <c r="F285" s="5" t="n"/>
      <c r="G285" s="3" t="n"/>
      <c r="H285" s="3">
        <f>IF(OR(F285="",G285=""),"",F285*G285)</f>
        <v/>
      </c>
      <c r="I285" s="6">
        <f>IF(H285="","",H285/INFO_PROJECT!$B$22*100)</f>
        <v/>
      </c>
      <c r="J285" s="2" t="inlineStr"/>
      <c r="K285" s="2" t="inlineStr"/>
      <c r="L285" s="2" t="inlineStr"/>
    </row>
    <row r="286">
      <c r="A286" s="2" t="inlineStr"/>
      <c r="B286" s="2" t="inlineStr"/>
      <c r="C286" s="2" t="inlineStr"/>
      <c r="D286" s="2" t="inlineStr"/>
      <c r="E286" s="2" t="inlineStr"/>
      <c r="F286" s="5" t="n"/>
      <c r="G286" s="3" t="n"/>
      <c r="H286" s="3">
        <f>IF(OR(F286="",G286=""),"",F286*G286)</f>
        <v/>
      </c>
      <c r="I286" s="6">
        <f>IF(H286="","",H286/INFO_PROJECT!$B$22*100)</f>
        <v/>
      </c>
      <c r="J286" s="2" t="inlineStr"/>
      <c r="K286" s="2" t="inlineStr"/>
      <c r="L286" s="2" t="inlineStr"/>
    </row>
    <row r="287">
      <c r="A287" s="2" t="inlineStr"/>
      <c r="B287" s="2" t="inlineStr"/>
      <c r="C287" s="2" t="inlineStr"/>
      <c r="D287" s="2" t="inlineStr"/>
      <c r="E287" s="2" t="inlineStr"/>
      <c r="F287" s="5" t="n"/>
      <c r="G287" s="3" t="n"/>
      <c r="H287" s="3">
        <f>IF(OR(F287="",G287=""),"",F287*G287)</f>
        <v/>
      </c>
      <c r="I287" s="6">
        <f>IF(H287="","",H287/INFO_PROJECT!$B$22*100)</f>
        <v/>
      </c>
      <c r="J287" s="2" t="inlineStr"/>
      <c r="K287" s="2" t="inlineStr"/>
      <c r="L287" s="2" t="inlineStr"/>
    </row>
    <row r="288">
      <c r="A288" s="2" t="inlineStr"/>
      <c r="B288" s="2" t="inlineStr"/>
      <c r="C288" s="2" t="inlineStr"/>
      <c r="D288" s="2" t="inlineStr"/>
      <c r="E288" s="2" t="inlineStr"/>
      <c r="F288" s="5" t="n"/>
      <c r="G288" s="3" t="n"/>
      <c r="H288" s="3">
        <f>IF(OR(F288="",G288=""),"",F288*G288)</f>
        <v/>
      </c>
      <c r="I288" s="6">
        <f>IF(H288="","",H288/INFO_PROJECT!$B$22*100)</f>
        <v/>
      </c>
      <c r="J288" s="2" t="inlineStr"/>
      <c r="K288" s="2" t="inlineStr"/>
      <c r="L288" s="2" t="inlineStr"/>
    </row>
    <row r="289">
      <c r="A289" s="2" t="inlineStr"/>
      <c r="B289" s="2" t="inlineStr"/>
      <c r="C289" s="2" t="inlineStr"/>
      <c r="D289" s="2" t="inlineStr"/>
      <c r="E289" s="2" t="inlineStr"/>
      <c r="F289" s="5" t="n"/>
      <c r="G289" s="3" t="n"/>
      <c r="H289" s="3">
        <f>IF(OR(F289="",G289=""),"",F289*G289)</f>
        <v/>
      </c>
      <c r="I289" s="6">
        <f>IF(H289="","",H289/INFO_PROJECT!$B$22*100)</f>
        <v/>
      </c>
      <c r="J289" s="2" t="inlineStr"/>
      <c r="K289" s="2" t="inlineStr"/>
      <c r="L289" s="2" t="inlineStr"/>
    </row>
    <row r="290">
      <c r="A290" s="2" t="inlineStr"/>
      <c r="B290" s="2" t="inlineStr"/>
      <c r="C290" s="2" t="inlineStr"/>
      <c r="D290" s="2" t="inlineStr"/>
      <c r="E290" s="2" t="inlineStr"/>
      <c r="F290" s="5" t="n"/>
      <c r="G290" s="3" t="n"/>
      <c r="H290" s="3">
        <f>IF(OR(F290="",G290=""),"",F290*G290)</f>
        <v/>
      </c>
      <c r="I290" s="6">
        <f>IF(H290="","",H290/INFO_PROJECT!$B$22*100)</f>
        <v/>
      </c>
      <c r="J290" s="2" t="inlineStr"/>
      <c r="K290" s="2" t="inlineStr"/>
      <c r="L290" s="2" t="inlineStr"/>
    </row>
    <row r="291">
      <c r="A291" s="2" t="inlineStr"/>
      <c r="B291" s="2" t="inlineStr"/>
      <c r="C291" s="2" t="inlineStr"/>
      <c r="D291" s="2" t="inlineStr"/>
      <c r="E291" s="2" t="inlineStr"/>
      <c r="F291" s="5" t="n"/>
      <c r="G291" s="3" t="n"/>
      <c r="H291" s="3">
        <f>IF(OR(F291="",G291=""),"",F291*G291)</f>
        <v/>
      </c>
      <c r="I291" s="6">
        <f>IF(H291="","",H291/INFO_PROJECT!$B$22*100)</f>
        <v/>
      </c>
      <c r="J291" s="2" t="inlineStr"/>
      <c r="K291" s="2" t="inlineStr"/>
      <c r="L291" s="2" t="inlineStr"/>
    </row>
    <row r="292">
      <c r="A292" s="2" t="inlineStr"/>
      <c r="B292" s="2" t="inlineStr"/>
      <c r="C292" s="2" t="inlineStr"/>
      <c r="D292" s="2" t="inlineStr"/>
      <c r="E292" s="2" t="inlineStr"/>
      <c r="F292" s="5" t="n"/>
      <c r="G292" s="3" t="n"/>
      <c r="H292" s="3">
        <f>IF(OR(F292="",G292=""),"",F292*G292)</f>
        <v/>
      </c>
      <c r="I292" s="6">
        <f>IF(H292="","",H292/INFO_PROJECT!$B$22*100)</f>
        <v/>
      </c>
      <c r="J292" s="2" t="inlineStr"/>
      <c r="K292" s="2" t="inlineStr"/>
      <c r="L292" s="2" t="inlineStr"/>
    </row>
    <row r="293">
      <c r="A293" s="2" t="inlineStr"/>
      <c r="B293" s="2" t="inlineStr"/>
      <c r="C293" s="2" t="inlineStr"/>
      <c r="D293" s="2" t="inlineStr"/>
      <c r="E293" s="2" t="inlineStr"/>
      <c r="F293" s="5" t="n"/>
      <c r="G293" s="3" t="n"/>
      <c r="H293" s="3">
        <f>IF(OR(F293="",G293=""),"",F293*G293)</f>
        <v/>
      </c>
      <c r="I293" s="6">
        <f>IF(H293="","",H293/INFO_PROJECT!$B$22*100)</f>
        <v/>
      </c>
      <c r="J293" s="2" t="inlineStr"/>
      <c r="K293" s="2" t="inlineStr"/>
      <c r="L293" s="2" t="inlineStr"/>
    </row>
    <row r="294">
      <c r="A294" s="2" t="inlineStr"/>
      <c r="B294" s="2" t="inlineStr"/>
      <c r="C294" s="2" t="inlineStr"/>
      <c r="D294" s="2" t="inlineStr"/>
      <c r="E294" s="2" t="inlineStr"/>
      <c r="F294" s="5" t="n"/>
      <c r="G294" s="3" t="n"/>
      <c r="H294" s="3">
        <f>IF(OR(F294="",G294=""),"",F294*G294)</f>
        <v/>
      </c>
      <c r="I294" s="6">
        <f>IF(H294="","",H294/INFO_PROJECT!$B$22*100)</f>
        <v/>
      </c>
      <c r="J294" s="2" t="inlineStr"/>
      <c r="K294" s="2" t="inlineStr"/>
      <c r="L294" s="2" t="inlineStr"/>
    </row>
    <row r="295">
      <c r="A295" s="2" t="inlineStr"/>
      <c r="B295" s="2" t="inlineStr"/>
      <c r="C295" s="2" t="inlineStr"/>
      <c r="D295" s="2" t="inlineStr"/>
      <c r="E295" s="2" t="inlineStr"/>
      <c r="F295" s="5" t="n"/>
      <c r="G295" s="3" t="n"/>
      <c r="H295" s="3">
        <f>IF(OR(F295="",G295=""),"",F295*G295)</f>
        <v/>
      </c>
      <c r="I295" s="6">
        <f>IF(H295="","",H295/INFO_PROJECT!$B$22*100)</f>
        <v/>
      </c>
      <c r="J295" s="2" t="inlineStr"/>
      <c r="K295" s="2" t="inlineStr"/>
      <c r="L295" s="2" t="inlineStr"/>
    </row>
    <row r="296">
      <c r="A296" s="2" t="inlineStr"/>
      <c r="B296" s="2" t="inlineStr"/>
      <c r="C296" s="2" t="inlineStr"/>
      <c r="D296" s="2" t="inlineStr"/>
      <c r="E296" s="2" t="inlineStr"/>
      <c r="F296" s="5" t="n"/>
      <c r="G296" s="3" t="n"/>
      <c r="H296" s="3">
        <f>IF(OR(F296="",G296=""),"",F296*G296)</f>
        <v/>
      </c>
      <c r="I296" s="6">
        <f>IF(H296="","",H296/INFO_PROJECT!$B$22*100)</f>
        <v/>
      </c>
      <c r="J296" s="2" t="inlineStr"/>
      <c r="K296" s="2" t="inlineStr"/>
      <c r="L296" s="2" t="inlineStr"/>
    </row>
    <row r="297">
      <c r="A297" s="2" t="inlineStr"/>
      <c r="B297" s="2" t="inlineStr"/>
      <c r="C297" s="2" t="inlineStr"/>
      <c r="D297" s="2" t="inlineStr"/>
      <c r="E297" s="2" t="inlineStr"/>
      <c r="F297" s="5" t="n"/>
      <c r="G297" s="3" t="n"/>
      <c r="H297" s="3">
        <f>IF(OR(F297="",G297=""),"",F297*G297)</f>
        <v/>
      </c>
      <c r="I297" s="6">
        <f>IF(H297="","",H297/INFO_PROJECT!$B$22*100)</f>
        <v/>
      </c>
      <c r="J297" s="2" t="inlineStr"/>
      <c r="K297" s="2" t="inlineStr"/>
      <c r="L297" s="2" t="inlineStr"/>
    </row>
    <row r="298">
      <c r="A298" s="2" t="inlineStr"/>
      <c r="B298" s="2" t="inlineStr"/>
      <c r="C298" s="2" t="inlineStr"/>
      <c r="D298" s="2" t="inlineStr"/>
      <c r="E298" s="2" t="inlineStr"/>
      <c r="F298" s="5" t="n"/>
      <c r="G298" s="3" t="n"/>
      <c r="H298" s="3">
        <f>IF(OR(F298="",G298=""),"",F298*G298)</f>
        <v/>
      </c>
      <c r="I298" s="6">
        <f>IF(H298="","",H298/INFO_PROJECT!$B$22*100)</f>
        <v/>
      </c>
      <c r="J298" s="2" t="inlineStr"/>
      <c r="K298" s="2" t="inlineStr"/>
      <c r="L298" s="2" t="inlineStr"/>
    </row>
    <row r="299">
      <c r="A299" s="2" t="inlineStr"/>
      <c r="B299" s="2" t="inlineStr"/>
      <c r="C299" s="2" t="inlineStr"/>
      <c r="D299" s="2" t="inlineStr"/>
      <c r="E299" s="2" t="inlineStr"/>
      <c r="F299" s="5" t="n"/>
      <c r="G299" s="3" t="n"/>
      <c r="H299" s="3">
        <f>IF(OR(F299="",G299=""),"",F299*G299)</f>
        <v/>
      </c>
      <c r="I299" s="6">
        <f>IF(H299="","",H299/INFO_PROJECT!$B$22*100)</f>
        <v/>
      </c>
      <c r="J299" s="2" t="inlineStr"/>
      <c r="K299" s="2" t="inlineStr"/>
      <c r="L299" s="2" t="inlineStr"/>
    </row>
    <row r="300">
      <c r="A300" s="2" t="inlineStr"/>
      <c r="B300" s="2" t="inlineStr"/>
      <c r="C300" s="2" t="inlineStr"/>
      <c r="D300" s="2" t="inlineStr"/>
      <c r="E300" s="2" t="inlineStr"/>
      <c r="F300" s="5" t="n"/>
      <c r="G300" s="3" t="n"/>
      <c r="H300" s="3">
        <f>IF(OR(F300="",G300=""),"",F300*G300)</f>
        <v/>
      </c>
      <c r="I300" s="6">
        <f>IF(H300="","",H300/INFO_PROJECT!$B$22*100)</f>
        <v/>
      </c>
      <c r="J300" s="2" t="inlineStr"/>
      <c r="K300" s="2" t="inlineStr"/>
      <c r="L300" s="2" t="inlineStr"/>
    </row>
    <row r="301">
      <c r="A301" s="2" t="inlineStr"/>
      <c r="B301" s="2" t="inlineStr"/>
      <c r="C301" s="2" t="inlineStr"/>
      <c r="D301" s="2" t="inlineStr"/>
      <c r="E301" s="2" t="inlineStr"/>
      <c r="F301" s="5" t="n"/>
      <c r="G301" s="3" t="n"/>
      <c r="H301" s="3">
        <f>IF(OR(F301="",G301=""),"",F301*G301)</f>
        <v/>
      </c>
      <c r="I301" s="6">
        <f>IF(H301="","",H301/INFO_PROJECT!$B$22*100)</f>
        <v/>
      </c>
      <c r="J301" s="2" t="inlineStr"/>
      <c r="K301" s="2" t="inlineStr"/>
      <c r="L301" s="2" t="inlineStr"/>
    </row>
    <row r="304">
      <c r="G304" s="7" t="inlineStr">
        <is>
          <t>TOTAL RAB</t>
        </is>
      </c>
      <c r="H304" s="8">
        <f>SUM(H2:H301)</f>
        <v/>
      </c>
      <c r="I304" s="9">
        <f>SUM(I2:I301)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8" customWidth="1" min="4" max="4"/>
    <col width="42" customWidth="1" min="5" max="5"/>
  </cols>
  <sheetData>
    <row r="1">
      <c r="A1" s="10" t="inlineStr">
        <is>
          <t>period_no</t>
        </is>
      </c>
      <c r="B1" s="10" t="inlineStr">
        <is>
          <t>period_date</t>
        </is>
      </c>
      <c r="C1" s="10" t="inlineStr">
        <is>
          <t>planned_percent_period</t>
        </is>
      </c>
      <c r="D1" s="10" t="inlineStr">
        <is>
          <t>planned_percent_cumulative</t>
        </is>
      </c>
      <c r="E1" s="10" t="inlineStr">
        <is>
          <t>notes</t>
        </is>
      </c>
    </row>
    <row r="2">
      <c r="A2" s="2" t="n">
        <v>1</v>
      </c>
      <c r="B2" s="2" t="inlineStr">
        <is>
          <t>2026-06-07</t>
        </is>
      </c>
      <c r="C2" s="11" t="n">
        <v>2</v>
      </c>
      <c r="D2" s="11">
        <f>SUM($C$2:C2)</f>
        <v/>
      </c>
      <c r="E2" s="2" t="inlineStr">
        <is>
          <t>Contoh target mingguan kumulatif</t>
        </is>
      </c>
    </row>
    <row r="3">
      <c r="A3" s="2" t="n">
        <v>2</v>
      </c>
      <c r="B3" s="2" t="inlineStr">
        <is>
          <t>2026-06-14</t>
        </is>
      </c>
      <c r="C3" s="11" t="n">
        <v>3</v>
      </c>
      <c r="D3" s="11">
        <f>SUM($C$2:C3)</f>
        <v/>
      </c>
      <c r="E3" s="2" t="inlineStr">
        <is>
          <t>Contoh target mingguan kumulatif</t>
        </is>
      </c>
    </row>
    <row r="4">
      <c r="A4" s="2" t="n">
        <v>3</v>
      </c>
      <c r="B4" s="2" t="inlineStr">
        <is>
          <t>2026-06-21</t>
        </is>
      </c>
      <c r="C4" s="11" t="n">
        <v>5</v>
      </c>
      <c r="D4" s="11">
        <f>SUM($C$2:C4)</f>
        <v/>
      </c>
      <c r="E4" s="2" t="inlineStr">
        <is>
          <t>Contoh target mingguan kumulatif</t>
        </is>
      </c>
    </row>
    <row r="5">
      <c r="A5" s="2" t="n">
        <v>4</v>
      </c>
      <c r="B5" s="2" t="inlineStr">
        <is>
          <t>2026-06-28</t>
        </is>
      </c>
      <c r="C5" s="11" t="n">
        <v>7</v>
      </c>
      <c r="D5" s="11">
        <f>SUM($C$2:C5)</f>
        <v/>
      </c>
      <c r="E5" s="2" t="inlineStr">
        <is>
          <t>Contoh target mingguan kumulatif</t>
        </is>
      </c>
    </row>
    <row r="6">
      <c r="A6" s="2" t="n">
        <v>5</v>
      </c>
      <c r="B6" s="2" t="inlineStr">
        <is>
          <t>2026-07-05</t>
        </is>
      </c>
      <c r="C6" s="11" t="n">
        <v>8</v>
      </c>
      <c r="D6" s="11">
        <f>SUM($C$2:C6)</f>
        <v/>
      </c>
      <c r="E6" s="2" t="inlineStr">
        <is>
          <t>Contoh target mingguan kumulatif</t>
        </is>
      </c>
    </row>
    <row r="7">
      <c r="A7" s="2" t="n">
        <v>6</v>
      </c>
      <c r="B7" s="2" t="inlineStr">
        <is>
          <t>2026-07-12</t>
        </is>
      </c>
      <c r="C7" s="11" t="n">
        <v>9</v>
      </c>
      <c r="D7" s="11">
        <f>SUM($C$2:C7)</f>
        <v/>
      </c>
      <c r="E7" s="2" t="inlineStr">
        <is>
          <t>Contoh target mingguan kumulatif</t>
        </is>
      </c>
    </row>
    <row r="8">
      <c r="A8" s="2" t="n">
        <v>7</v>
      </c>
      <c r="B8" s="2" t="inlineStr">
        <is>
          <t>2026-07-19</t>
        </is>
      </c>
      <c r="C8" s="11" t="n">
        <v>11</v>
      </c>
      <c r="D8" s="11">
        <f>SUM($C$2:C8)</f>
        <v/>
      </c>
      <c r="E8" s="2" t="inlineStr">
        <is>
          <t>Contoh target mingguan kumulatif</t>
        </is>
      </c>
    </row>
    <row r="9">
      <c r="A9" s="2" t="n">
        <v>8</v>
      </c>
      <c r="B9" s="2" t="inlineStr">
        <is>
          <t>2026-07-26</t>
        </is>
      </c>
      <c r="C9" s="11" t="n">
        <v>12</v>
      </c>
      <c r="D9" s="11">
        <f>SUM($C$2:C9)</f>
        <v/>
      </c>
      <c r="E9" s="2" t="inlineStr">
        <is>
          <t>Contoh target mingguan kumulatif</t>
        </is>
      </c>
    </row>
    <row r="10">
      <c r="A10" s="2" t="n">
        <v>9</v>
      </c>
      <c r="B10" s="2" t="inlineStr">
        <is>
          <t>2026-08-02</t>
        </is>
      </c>
      <c r="C10" s="11" t="n">
        <v>12</v>
      </c>
      <c r="D10" s="11">
        <f>SUM($C$2:C10)</f>
        <v/>
      </c>
      <c r="E10" s="2" t="inlineStr">
        <is>
          <t>Contoh target mingguan kumulatif</t>
        </is>
      </c>
    </row>
    <row r="11">
      <c r="A11" s="2" t="n">
        <v>10</v>
      </c>
      <c r="B11" s="2" t="inlineStr">
        <is>
          <t>2026-08-09</t>
        </is>
      </c>
      <c r="C11" s="11" t="n">
        <v>10</v>
      </c>
      <c r="D11" s="11">
        <f>SUM($C$2:C11)</f>
        <v/>
      </c>
      <c r="E11" s="2" t="inlineStr">
        <is>
          <t>Contoh target mingguan kumulatif</t>
        </is>
      </c>
    </row>
    <row r="12">
      <c r="A12" s="2" t="n">
        <v>11</v>
      </c>
      <c r="B12" s="2" t="inlineStr">
        <is>
          <t>2026-08-16</t>
        </is>
      </c>
      <c r="C12" s="11" t="n">
        <v>8</v>
      </c>
      <c r="D12" s="11">
        <f>SUM($C$2:C12)</f>
        <v/>
      </c>
      <c r="E12" s="2" t="inlineStr">
        <is>
          <t>Contoh target mingguan kumulatif</t>
        </is>
      </c>
    </row>
    <row r="13">
      <c r="A13" s="2" t="n">
        <v>12</v>
      </c>
      <c r="B13" s="2" t="inlineStr">
        <is>
          <t>2026-08-23</t>
        </is>
      </c>
      <c r="C13" s="11" t="n">
        <v>6</v>
      </c>
      <c r="D13" s="11">
        <f>SUM($C$2:C13)</f>
        <v/>
      </c>
      <c r="E13" s="2" t="inlineStr">
        <is>
          <t>Contoh target mingguan kumulatif</t>
        </is>
      </c>
    </row>
    <row r="14">
      <c r="A14" s="2" t="n">
        <v>13</v>
      </c>
      <c r="B14" s="2" t="inlineStr">
        <is>
          <t>2026-08-30</t>
        </is>
      </c>
      <c r="C14" s="11" t="n">
        <v>4</v>
      </c>
      <c r="D14" s="11">
        <f>SUM($C$2:C14)</f>
        <v/>
      </c>
      <c r="E14" s="2" t="inlineStr">
        <is>
          <t>Contoh target mingguan kumulatif</t>
        </is>
      </c>
    </row>
    <row r="15">
      <c r="A15" s="2" t="n">
        <v>14</v>
      </c>
      <c r="B15" s="2" t="inlineStr">
        <is>
          <t>2026-09-06</t>
        </is>
      </c>
      <c r="C15" s="11" t="n">
        <v>3</v>
      </c>
      <c r="D15" s="11">
        <f>SUM($C$2:C15)</f>
        <v/>
      </c>
      <c r="E15" s="2" t="inlineStr">
        <is>
          <t>Contoh target mingguan kumulatif</t>
        </is>
      </c>
    </row>
    <row r="16">
      <c r="A16" s="2">
        <f>IF(B16="","",ROW()-1)</f>
        <v/>
      </c>
      <c r="B16" s="2" t="inlineStr"/>
      <c r="C16" s="11" t="inlineStr"/>
      <c r="D16" s="11">
        <f>IF(C16="","",SUM($C$2:C16))</f>
        <v/>
      </c>
      <c r="E16" s="2" t="inlineStr"/>
    </row>
    <row r="17">
      <c r="A17" s="2">
        <f>IF(B17="","",ROW()-1)</f>
        <v/>
      </c>
      <c r="B17" s="2" t="inlineStr"/>
      <c r="C17" s="11" t="inlineStr"/>
      <c r="D17" s="11">
        <f>IF(C17="","",SUM($C$2:C17))</f>
        <v/>
      </c>
      <c r="E17" s="2" t="inlineStr"/>
    </row>
    <row r="18">
      <c r="A18" s="2">
        <f>IF(B18="","",ROW()-1)</f>
        <v/>
      </c>
      <c r="B18" s="2" t="inlineStr"/>
      <c r="C18" s="11" t="inlineStr"/>
      <c r="D18" s="11">
        <f>IF(C18="","",SUM($C$2:C18))</f>
        <v/>
      </c>
      <c r="E18" s="2" t="inlineStr"/>
    </row>
    <row r="19">
      <c r="A19" s="2">
        <f>IF(B19="","",ROW()-1)</f>
        <v/>
      </c>
      <c r="B19" s="2" t="inlineStr"/>
      <c r="C19" s="11" t="inlineStr"/>
      <c r="D19" s="11">
        <f>IF(C19="","",SUM($C$2:C19))</f>
        <v/>
      </c>
      <c r="E19" s="2" t="inlineStr"/>
    </row>
    <row r="20">
      <c r="A20" s="2">
        <f>IF(B20="","",ROW()-1)</f>
        <v/>
      </c>
      <c r="B20" s="2" t="inlineStr"/>
      <c r="C20" s="11" t="inlineStr"/>
      <c r="D20" s="11">
        <f>IF(C20="","",SUM($C$2:C20))</f>
        <v/>
      </c>
      <c r="E20" s="2" t="inlineStr"/>
    </row>
    <row r="21">
      <c r="A21" s="2">
        <f>IF(B21="","",ROW()-1)</f>
        <v/>
      </c>
      <c r="B21" s="2" t="inlineStr"/>
      <c r="C21" s="11" t="inlineStr"/>
      <c r="D21" s="11">
        <f>IF(C21="","",SUM($C$2:C21))</f>
        <v/>
      </c>
      <c r="E21" s="2" t="inlineStr"/>
    </row>
    <row r="22">
      <c r="A22" s="2">
        <f>IF(B22="","",ROW()-1)</f>
        <v/>
      </c>
      <c r="B22" s="2" t="inlineStr"/>
      <c r="C22" s="11" t="inlineStr"/>
      <c r="D22" s="11">
        <f>IF(C22="","",SUM($C$2:C22))</f>
        <v/>
      </c>
      <c r="E22" s="2" t="inlineStr"/>
    </row>
    <row r="23">
      <c r="A23" s="2">
        <f>IF(B23="","",ROW()-1)</f>
        <v/>
      </c>
      <c r="B23" s="2" t="inlineStr"/>
      <c r="C23" s="11" t="inlineStr"/>
      <c r="D23" s="11">
        <f>IF(C23="","",SUM($C$2:C23))</f>
        <v/>
      </c>
      <c r="E23" s="2" t="inlineStr"/>
    </row>
    <row r="24">
      <c r="A24" s="2">
        <f>IF(B24="","",ROW()-1)</f>
        <v/>
      </c>
      <c r="B24" s="2" t="inlineStr"/>
      <c r="C24" s="11" t="inlineStr"/>
      <c r="D24" s="11">
        <f>IF(C24="","",SUM($C$2:C24))</f>
        <v/>
      </c>
      <c r="E24" s="2" t="inlineStr"/>
    </row>
    <row r="25">
      <c r="A25" s="2">
        <f>IF(B25="","",ROW()-1)</f>
        <v/>
      </c>
      <c r="B25" s="2" t="inlineStr"/>
      <c r="C25" s="11" t="inlineStr"/>
      <c r="D25" s="11">
        <f>IF(C25="","",SUM($C$2:C25))</f>
        <v/>
      </c>
      <c r="E25" s="2" t="inlineStr"/>
    </row>
    <row r="26">
      <c r="A26" s="2">
        <f>IF(B26="","",ROW()-1)</f>
        <v/>
      </c>
      <c r="B26" s="2" t="inlineStr"/>
      <c r="C26" s="11" t="inlineStr"/>
      <c r="D26" s="11">
        <f>IF(C26="","",SUM($C$2:C26))</f>
        <v/>
      </c>
      <c r="E26" s="2" t="inlineStr"/>
    </row>
    <row r="27">
      <c r="A27" s="2">
        <f>IF(B27="","",ROW()-1)</f>
        <v/>
      </c>
      <c r="B27" s="2" t="inlineStr"/>
      <c r="C27" s="11" t="inlineStr"/>
      <c r="D27" s="11">
        <f>IF(C27="","",SUM($C$2:C27))</f>
        <v/>
      </c>
      <c r="E27" s="2" t="inlineStr"/>
    </row>
    <row r="28">
      <c r="A28" s="2">
        <f>IF(B28="","",ROW()-1)</f>
        <v/>
      </c>
      <c r="B28" s="2" t="inlineStr"/>
      <c r="C28" s="11" t="inlineStr"/>
      <c r="D28" s="11">
        <f>IF(C28="","",SUM($C$2:C28))</f>
        <v/>
      </c>
      <c r="E28" s="2" t="inlineStr"/>
    </row>
    <row r="29">
      <c r="A29" s="2">
        <f>IF(B29="","",ROW()-1)</f>
        <v/>
      </c>
      <c r="B29" s="2" t="inlineStr"/>
      <c r="C29" s="11" t="inlineStr"/>
      <c r="D29" s="11">
        <f>IF(C29="","",SUM($C$2:C29))</f>
        <v/>
      </c>
      <c r="E29" s="2" t="inlineStr"/>
    </row>
    <row r="30">
      <c r="A30" s="2">
        <f>IF(B30="","",ROW()-1)</f>
        <v/>
      </c>
      <c r="B30" s="2" t="inlineStr"/>
      <c r="C30" s="11" t="inlineStr"/>
      <c r="D30" s="11">
        <f>IF(C30="","",SUM($C$2:C30))</f>
        <v/>
      </c>
      <c r="E30" s="2" t="inlineStr"/>
    </row>
    <row r="31">
      <c r="A31" s="2">
        <f>IF(B31="","",ROW()-1)</f>
        <v/>
      </c>
      <c r="B31" s="2" t="inlineStr"/>
      <c r="C31" s="11" t="inlineStr"/>
      <c r="D31" s="11">
        <f>IF(C31="","",SUM($C$2:C31))</f>
        <v/>
      </c>
      <c r="E31" s="2" t="inlineStr"/>
    </row>
    <row r="32">
      <c r="A32" s="2">
        <f>IF(B32="","",ROW()-1)</f>
        <v/>
      </c>
      <c r="B32" s="2" t="inlineStr"/>
      <c r="C32" s="11" t="inlineStr"/>
      <c r="D32" s="11">
        <f>IF(C32="","",SUM($C$2:C32))</f>
        <v/>
      </c>
      <c r="E32" s="2" t="inlineStr"/>
    </row>
    <row r="33">
      <c r="A33" s="2">
        <f>IF(B33="","",ROW()-1)</f>
        <v/>
      </c>
      <c r="B33" s="2" t="inlineStr"/>
      <c r="C33" s="11" t="inlineStr"/>
      <c r="D33" s="11">
        <f>IF(C33="","",SUM($C$2:C33))</f>
        <v/>
      </c>
      <c r="E33" s="2" t="inlineStr"/>
    </row>
    <row r="34">
      <c r="A34" s="2">
        <f>IF(B34="","",ROW()-1)</f>
        <v/>
      </c>
      <c r="B34" s="2" t="inlineStr"/>
      <c r="C34" s="11" t="inlineStr"/>
      <c r="D34" s="11">
        <f>IF(C34="","",SUM($C$2:C34))</f>
        <v/>
      </c>
      <c r="E34" s="2" t="inlineStr"/>
    </row>
    <row r="35">
      <c r="A35" s="2">
        <f>IF(B35="","",ROW()-1)</f>
        <v/>
      </c>
      <c r="B35" s="2" t="inlineStr"/>
      <c r="C35" s="11" t="inlineStr"/>
      <c r="D35" s="11">
        <f>IF(C35="","",SUM($C$2:C35))</f>
        <v/>
      </c>
      <c r="E35" s="2" t="inlineStr"/>
    </row>
    <row r="36">
      <c r="A36" s="2">
        <f>IF(B36="","",ROW()-1)</f>
        <v/>
      </c>
      <c r="B36" s="2" t="inlineStr"/>
      <c r="C36" s="11" t="inlineStr"/>
      <c r="D36" s="11">
        <f>IF(C36="","",SUM($C$2:C36))</f>
        <v/>
      </c>
      <c r="E36" s="2" t="inlineStr"/>
    </row>
    <row r="37">
      <c r="A37" s="2">
        <f>IF(B37="","",ROW()-1)</f>
        <v/>
      </c>
      <c r="B37" s="2" t="inlineStr"/>
      <c r="C37" s="11" t="inlineStr"/>
      <c r="D37" s="11">
        <f>IF(C37="","",SUM($C$2:C37))</f>
        <v/>
      </c>
      <c r="E37" s="2" t="inlineStr"/>
    </row>
    <row r="38">
      <c r="A38" s="2">
        <f>IF(B38="","",ROW()-1)</f>
        <v/>
      </c>
      <c r="B38" s="2" t="inlineStr"/>
      <c r="C38" s="11" t="inlineStr"/>
      <c r="D38" s="11">
        <f>IF(C38="","",SUM($C$2:C38))</f>
        <v/>
      </c>
      <c r="E38" s="2" t="inlineStr"/>
    </row>
    <row r="39">
      <c r="A39" s="2">
        <f>IF(B39="","",ROW()-1)</f>
        <v/>
      </c>
      <c r="B39" s="2" t="inlineStr"/>
      <c r="C39" s="11" t="inlineStr"/>
      <c r="D39" s="11">
        <f>IF(C39="","",SUM($C$2:C39))</f>
        <v/>
      </c>
      <c r="E39" s="2" t="inlineStr"/>
    </row>
    <row r="40">
      <c r="A40" s="2">
        <f>IF(B40="","",ROW()-1)</f>
        <v/>
      </c>
      <c r="B40" s="2" t="inlineStr"/>
      <c r="C40" s="11" t="inlineStr"/>
      <c r="D40" s="11">
        <f>IF(C40="","",SUM($C$2:C40))</f>
        <v/>
      </c>
      <c r="E40" s="2" t="inlineStr"/>
    </row>
    <row r="41">
      <c r="A41" s="2">
        <f>IF(B41="","",ROW()-1)</f>
        <v/>
      </c>
      <c r="B41" s="2" t="inlineStr"/>
      <c r="C41" s="11" t="inlineStr"/>
      <c r="D41" s="11">
        <f>IF(C41="","",SUM($C$2:C41))</f>
        <v/>
      </c>
      <c r="E41" s="2" t="inlineStr"/>
    </row>
    <row r="42">
      <c r="A42" s="2">
        <f>IF(B42="","",ROW()-1)</f>
        <v/>
      </c>
      <c r="B42" s="2" t="inlineStr"/>
      <c r="C42" s="11" t="inlineStr"/>
      <c r="D42" s="11">
        <f>IF(C42="","",SUM($C$2:C42))</f>
        <v/>
      </c>
      <c r="E42" s="2" t="inlineStr"/>
    </row>
    <row r="43">
      <c r="A43" s="2">
        <f>IF(B43="","",ROW()-1)</f>
        <v/>
      </c>
      <c r="B43" s="2" t="inlineStr"/>
      <c r="C43" s="11" t="inlineStr"/>
      <c r="D43" s="11">
        <f>IF(C43="","",SUM($C$2:C43))</f>
        <v/>
      </c>
      <c r="E43" s="2" t="inlineStr"/>
    </row>
    <row r="44">
      <c r="A44" s="2">
        <f>IF(B44="","",ROW()-1)</f>
        <v/>
      </c>
      <c r="B44" s="2" t="inlineStr"/>
      <c r="C44" s="11" t="inlineStr"/>
      <c r="D44" s="11">
        <f>IF(C44="","",SUM($C$2:C44))</f>
        <v/>
      </c>
      <c r="E44" s="2" t="inlineStr"/>
    </row>
    <row r="45">
      <c r="A45" s="2">
        <f>IF(B45="","",ROW()-1)</f>
        <v/>
      </c>
      <c r="B45" s="2" t="inlineStr"/>
      <c r="C45" s="11" t="inlineStr"/>
      <c r="D45" s="11">
        <f>IF(C45="","",SUM($C$2:C45))</f>
        <v/>
      </c>
      <c r="E45" s="2" t="inlineStr"/>
    </row>
    <row r="46">
      <c r="A46" s="2">
        <f>IF(B46="","",ROW()-1)</f>
        <v/>
      </c>
      <c r="B46" s="2" t="inlineStr"/>
      <c r="C46" s="11" t="inlineStr"/>
      <c r="D46" s="11">
        <f>IF(C46="","",SUM($C$2:C46))</f>
        <v/>
      </c>
      <c r="E46" s="2" t="inlineStr"/>
    </row>
    <row r="47">
      <c r="A47" s="2">
        <f>IF(B47="","",ROW()-1)</f>
        <v/>
      </c>
      <c r="B47" s="2" t="inlineStr"/>
      <c r="C47" s="11" t="inlineStr"/>
      <c r="D47" s="11">
        <f>IF(C47="","",SUM($C$2:C47))</f>
        <v/>
      </c>
      <c r="E47" s="2" t="inlineStr"/>
    </row>
    <row r="48">
      <c r="A48" s="2">
        <f>IF(B48="","",ROW()-1)</f>
        <v/>
      </c>
      <c r="B48" s="2" t="inlineStr"/>
      <c r="C48" s="11" t="inlineStr"/>
      <c r="D48" s="11">
        <f>IF(C48="","",SUM($C$2:C48))</f>
        <v/>
      </c>
      <c r="E48" s="2" t="inlineStr"/>
    </row>
    <row r="49">
      <c r="A49" s="2">
        <f>IF(B49="","",ROW()-1)</f>
        <v/>
      </c>
      <c r="B49" s="2" t="inlineStr"/>
      <c r="C49" s="11" t="inlineStr"/>
      <c r="D49" s="11">
        <f>IF(C49="","",SUM($C$2:C49))</f>
        <v/>
      </c>
      <c r="E49" s="2" t="inlineStr"/>
    </row>
    <row r="50">
      <c r="A50" s="2">
        <f>IF(B50="","",ROW()-1)</f>
        <v/>
      </c>
      <c r="B50" s="2" t="inlineStr"/>
      <c r="C50" s="11" t="inlineStr"/>
      <c r="D50" s="11">
        <f>IF(C50="","",SUM($C$2:C50))</f>
        <v/>
      </c>
      <c r="E50" s="2" t="inlineStr"/>
    </row>
    <row r="51">
      <c r="A51" s="2">
        <f>IF(B51="","",ROW()-1)</f>
        <v/>
      </c>
      <c r="B51" s="2" t="inlineStr"/>
      <c r="C51" s="11" t="inlineStr"/>
      <c r="D51" s="11">
        <f>IF(C51="","",SUM($C$2:C51))</f>
        <v/>
      </c>
      <c r="E51" s="2" t="inlineStr"/>
    </row>
    <row r="52">
      <c r="A52" s="2">
        <f>IF(B52="","",ROW()-1)</f>
        <v/>
      </c>
      <c r="B52" s="2" t="inlineStr"/>
      <c r="C52" s="11" t="inlineStr"/>
      <c r="D52" s="11">
        <f>IF(C52="","",SUM($C$2:C52))</f>
        <v/>
      </c>
      <c r="E52" s="2" t="inlineStr"/>
    </row>
    <row r="53">
      <c r="A53" s="2">
        <f>IF(B53="","",ROW()-1)</f>
        <v/>
      </c>
      <c r="B53" s="2" t="inlineStr"/>
      <c r="C53" s="11" t="inlineStr"/>
      <c r="D53" s="11">
        <f>IF(C53="","",SUM($C$2:C53))</f>
        <v/>
      </c>
      <c r="E53" s="2" t="inlineStr"/>
    </row>
    <row r="54">
      <c r="A54" s="2">
        <f>IF(B54="","",ROW()-1)</f>
        <v/>
      </c>
      <c r="B54" s="2" t="inlineStr"/>
      <c r="C54" s="11" t="inlineStr"/>
      <c r="D54" s="11">
        <f>IF(C54="","",SUM($C$2:C54))</f>
        <v/>
      </c>
      <c r="E54" s="2" t="inlineStr"/>
    </row>
    <row r="55">
      <c r="A55" s="2">
        <f>IF(B55="","",ROW()-1)</f>
        <v/>
      </c>
      <c r="B55" s="2" t="inlineStr"/>
      <c r="C55" s="11" t="inlineStr"/>
      <c r="D55" s="11">
        <f>IF(C55="","",SUM($C$2:C55))</f>
        <v/>
      </c>
      <c r="E55" s="2" t="inlineStr"/>
    </row>
    <row r="56">
      <c r="A56" s="2">
        <f>IF(B56="","",ROW()-1)</f>
        <v/>
      </c>
      <c r="B56" s="2" t="inlineStr"/>
      <c r="C56" s="11" t="inlineStr"/>
      <c r="D56" s="11">
        <f>IF(C56="","",SUM($C$2:C56))</f>
        <v/>
      </c>
      <c r="E56" s="2" t="inlineStr"/>
    </row>
    <row r="57">
      <c r="A57" s="2">
        <f>IF(B57="","",ROW()-1)</f>
        <v/>
      </c>
      <c r="B57" s="2" t="inlineStr"/>
      <c r="C57" s="11" t="inlineStr"/>
      <c r="D57" s="11">
        <f>IF(C57="","",SUM($C$2:C57))</f>
        <v/>
      </c>
      <c r="E57" s="2" t="inlineStr"/>
    </row>
    <row r="58">
      <c r="A58" s="2">
        <f>IF(B58="","",ROW()-1)</f>
        <v/>
      </c>
      <c r="B58" s="2" t="inlineStr"/>
      <c r="C58" s="11" t="inlineStr"/>
      <c r="D58" s="11">
        <f>IF(C58="","",SUM($C$2:C58))</f>
        <v/>
      </c>
      <c r="E58" s="2" t="inlineStr"/>
    </row>
    <row r="59">
      <c r="A59" s="2">
        <f>IF(B59="","",ROW()-1)</f>
        <v/>
      </c>
      <c r="B59" s="2" t="inlineStr"/>
      <c r="C59" s="11" t="inlineStr"/>
      <c r="D59" s="11">
        <f>IF(C59="","",SUM($C$2:C59))</f>
        <v/>
      </c>
      <c r="E59" s="2" t="inlineStr"/>
    </row>
    <row r="60">
      <c r="A60" s="2">
        <f>IF(B60="","",ROW()-1)</f>
        <v/>
      </c>
      <c r="B60" s="2" t="inlineStr"/>
      <c r="C60" s="11" t="inlineStr"/>
      <c r="D60" s="11">
        <f>IF(C60="","",SUM($C$2:C60))</f>
        <v/>
      </c>
      <c r="E60" s="2" t="inlineStr"/>
    </row>
    <row r="61">
      <c r="A61" s="2">
        <f>IF(B61="","",ROW()-1)</f>
        <v/>
      </c>
      <c r="B61" s="2" t="inlineStr"/>
      <c r="C61" s="11" t="inlineStr"/>
      <c r="D61" s="11">
        <f>IF(C61="","",SUM($C$2:C61))</f>
        <v/>
      </c>
      <c r="E61" s="2" t="inlineStr"/>
    </row>
    <row r="62">
      <c r="A62" s="2">
        <f>IF(B62="","",ROW()-1)</f>
        <v/>
      </c>
      <c r="B62" s="2" t="inlineStr"/>
      <c r="C62" s="11" t="inlineStr"/>
      <c r="D62" s="11">
        <f>IF(C62="","",SUM($C$2:C62))</f>
        <v/>
      </c>
      <c r="E62" s="2" t="inlineStr"/>
    </row>
    <row r="63">
      <c r="A63" s="2">
        <f>IF(B63="","",ROW()-1)</f>
        <v/>
      </c>
      <c r="B63" s="2" t="inlineStr"/>
      <c r="C63" s="11" t="inlineStr"/>
      <c r="D63" s="11">
        <f>IF(C63="","",SUM($C$2:C63))</f>
        <v/>
      </c>
      <c r="E63" s="2" t="inlineStr"/>
    </row>
    <row r="64">
      <c r="A64" s="2">
        <f>IF(B64="","",ROW()-1)</f>
        <v/>
      </c>
      <c r="B64" s="2" t="inlineStr"/>
      <c r="C64" s="11" t="inlineStr"/>
      <c r="D64" s="11">
        <f>IF(C64="","",SUM($C$2:C64))</f>
        <v/>
      </c>
      <c r="E64" s="2" t="inlineStr"/>
    </row>
    <row r="65">
      <c r="A65" s="2">
        <f>IF(B65="","",ROW()-1)</f>
        <v/>
      </c>
      <c r="B65" s="2" t="inlineStr"/>
      <c r="C65" s="11" t="inlineStr"/>
      <c r="D65" s="11">
        <f>IF(C65="","",SUM($C$2:C65))</f>
        <v/>
      </c>
      <c r="E65" s="2" t="inlineStr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2" customWidth="1" min="3" max="3"/>
    <col width="22" customWidth="1" min="4" max="4"/>
  </cols>
  <sheetData>
    <row r="1">
      <c r="A1" s="12" t="inlineStr">
        <is>
          <t>period_date</t>
        </is>
      </c>
      <c r="B1" s="12" t="inlineStr">
        <is>
          <t>target_cumulative_percent</t>
        </is>
      </c>
      <c r="C1" s="12" t="inlineStr">
        <is>
          <t>actual_cumulative_percent_placeholder</t>
        </is>
      </c>
      <c r="D1" s="12" t="inlineStr">
        <is>
          <t>deviasi_placeholder</t>
        </is>
      </c>
    </row>
    <row r="2">
      <c r="A2" s="13">
        <f>TARGET_KURVA_S!B2</f>
        <v/>
      </c>
      <c r="B2" s="13">
        <f>TARGET_KURVA_S!D2</f>
        <v/>
      </c>
      <c r="C2" s="13" t="inlineStr"/>
      <c r="D2" s="13">
        <f>IF(OR(B2="",C2=""),"",C2-B2)</f>
        <v/>
      </c>
    </row>
    <row r="3">
      <c r="A3" s="13">
        <f>TARGET_KURVA_S!B3</f>
        <v/>
      </c>
      <c r="B3" s="13">
        <f>TARGET_KURVA_S!D3</f>
        <v/>
      </c>
      <c r="C3" s="13" t="inlineStr"/>
      <c r="D3" s="13">
        <f>IF(OR(B3="",C3=""),"",C3-B3)</f>
        <v/>
      </c>
    </row>
    <row r="4">
      <c r="A4" s="13">
        <f>TARGET_KURVA_S!B4</f>
        <v/>
      </c>
      <c r="B4" s="13">
        <f>TARGET_KURVA_S!D4</f>
        <v/>
      </c>
      <c r="C4" s="13" t="inlineStr"/>
      <c r="D4" s="13">
        <f>IF(OR(B4="",C4=""),"",C4-B4)</f>
        <v/>
      </c>
    </row>
    <row r="5">
      <c r="A5" s="13">
        <f>TARGET_KURVA_S!B5</f>
        <v/>
      </c>
      <c r="B5" s="13">
        <f>TARGET_KURVA_S!D5</f>
        <v/>
      </c>
      <c r="C5" s="13" t="inlineStr"/>
      <c r="D5" s="13">
        <f>IF(OR(B5="",C5=""),"",C5-B5)</f>
        <v/>
      </c>
    </row>
    <row r="6">
      <c r="A6" s="13">
        <f>TARGET_KURVA_S!B6</f>
        <v/>
      </c>
      <c r="B6" s="13">
        <f>TARGET_KURVA_S!D6</f>
        <v/>
      </c>
      <c r="C6" s="13" t="inlineStr"/>
      <c r="D6" s="13">
        <f>IF(OR(B6="",C6=""),"",C6-B6)</f>
        <v/>
      </c>
    </row>
    <row r="7">
      <c r="A7" s="13">
        <f>TARGET_KURVA_S!B7</f>
        <v/>
      </c>
      <c r="B7" s="13">
        <f>TARGET_KURVA_S!D7</f>
        <v/>
      </c>
      <c r="C7" s="13" t="inlineStr"/>
      <c r="D7" s="13">
        <f>IF(OR(B7="",C7=""),"",C7-B7)</f>
        <v/>
      </c>
    </row>
    <row r="8">
      <c r="A8" s="13">
        <f>TARGET_KURVA_S!B8</f>
        <v/>
      </c>
      <c r="B8" s="13">
        <f>TARGET_KURVA_S!D8</f>
        <v/>
      </c>
      <c r="C8" s="13" t="inlineStr"/>
      <c r="D8" s="13">
        <f>IF(OR(B8="",C8=""),"",C8-B8)</f>
        <v/>
      </c>
    </row>
    <row r="9">
      <c r="A9" s="13">
        <f>TARGET_KURVA_S!B9</f>
        <v/>
      </c>
      <c r="B9" s="13">
        <f>TARGET_KURVA_S!D9</f>
        <v/>
      </c>
      <c r="C9" s="13" t="inlineStr"/>
      <c r="D9" s="13">
        <f>IF(OR(B9="",C9=""),"",C9-B9)</f>
        <v/>
      </c>
    </row>
    <row r="10">
      <c r="A10" s="13">
        <f>TARGET_KURVA_S!B10</f>
        <v/>
      </c>
      <c r="B10" s="13">
        <f>TARGET_KURVA_S!D10</f>
        <v/>
      </c>
      <c r="C10" s="13" t="inlineStr"/>
      <c r="D10" s="13">
        <f>IF(OR(B10="",C10=""),"",C10-B10)</f>
        <v/>
      </c>
    </row>
    <row r="11">
      <c r="A11" s="13">
        <f>TARGET_KURVA_S!B11</f>
        <v/>
      </c>
      <c r="B11" s="13">
        <f>TARGET_KURVA_S!D11</f>
        <v/>
      </c>
      <c r="C11" s="13" t="inlineStr"/>
      <c r="D11" s="13">
        <f>IF(OR(B11="",C11=""),"",C11-B11)</f>
        <v/>
      </c>
    </row>
    <row r="12">
      <c r="A12" s="13">
        <f>TARGET_KURVA_S!B12</f>
        <v/>
      </c>
      <c r="B12" s="13">
        <f>TARGET_KURVA_S!D12</f>
        <v/>
      </c>
      <c r="C12" s="13" t="inlineStr"/>
      <c r="D12" s="13">
        <f>IF(OR(B12="",C12=""),"",C12-B12)</f>
        <v/>
      </c>
    </row>
    <row r="13">
      <c r="A13" s="13">
        <f>TARGET_KURVA_S!B13</f>
        <v/>
      </c>
      <c r="B13" s="13">
        <f>TARGET_KURVA_S!D13</f>
        <v/>
      </c>
      <c r="C13" s="13" t="inlineStr"/>
      <c r="D13" s="13">
        <f>IF(OR(B13="",C13=""),"",C13-B13)</f>
        <v/>
      </c>
    </row>
    <row r="14">
      <c r="A14" s="13">
        <f>TARGET_KURVA_S!B14</f>
        <v/>
      </c>
      <c r="B14" s="13">
        <f>TARGET_KURVA_S!D14</f>
        <v/>
      </c>
      <c r="C14" s="13" t="inlineStr"/>
      <c r="D14" s="13">
        <f>IF(OR(B14="",C14=""),"",C14-B14)</f>
        <v/>
      </c>
    </row>
    <row r="15">
      <c r="A15" s="13">
        <f>TARGET_KURVA_S!B15</f>
        <v/>
      </c>
      <c r="B15" s="13">
        <f>TARGET_KURVA_S!D15</f>
        <v/>
      </c>
      <c r="C15" s="13" t="inlineStr"/>
      <c r="D15" s="13">
        <f>IF(OR(B15="",C15=""),"",C15-B15)</f>
        <v/>
      </c>
    </row>
    <row r="16">
      <c r="A16" s="13">
        <f>TARGET_KURVA_S!B16</f>
        <v/>
      </c>
      <c r="B16" s="13">
        <f>TARGET_KURVA_S!D16</f>
        <v/>
      </c>
      <c r="C16" s="13" t="inlineStr"/>
      <c r="D16" s="13">
        <f>IF(OR(B16="",C16=""),"",C16-B16)</f>
        <v/>
      </c>
    </row>
    <row r="17">
      <c r="A17" s="13">
        <f>TARGET_KURVA_S!B17</f>
        <v/>
      </c>
      <c r="B17" s="13">
        <f>TARGET_KURVA_S!D17</f>
        <v/>
      </c>
      <c r="C17" s="13" t="inlineStr"/>
      <c r="D17" s="13">
        <f>IF(OR(B17="",C17=""),"",C17-B17)</f>
        <v/>
      </c>
    </row>
    <row r="18">
      <c r="A18" s="13">
        <f>TARGET_KURVA_S!B18</f>
        <v/>
      </c>
      <c r="B18" s="13">
        <f>TARGET_KURVA_S!D18</f>
        <v/>
      </c>
      <c r="C18" s="13" t="inlineStr"/>
      <c r="D18" s="13">
        <f>IF(OR(B18="",C18=""),"",C18-B18)</f>
        <v/>
      </c>
    </row>
    <row r="19">
      <c r="A19" s="13">
        <f>TARGET_KURVA_S!B19</f>
        <v/>
      </c>
      <c r="B19" s="13">
        <f>TARGET_KURVA_S!D19</f>
        <v/>
      </c>
      <c r="C19" s="13" t="inlineStr"/>
      <c r="D19" s="13">
        <f>IF(OR(B19="",C19=""),"",C19-B19)</f>
        <v/>
      </c>
    </row>
    <row r="20">
      <c r="A20" s="13">
        <f>TARGET_KURVA_S!B20</f>
        <v/>
      </c>
      <c r="B20" s="13">
        <f>TARGET_KURVA_S!D20</f>
        <v/>
      </c>
      <c r="C20" s="13" t="inlineStr"/>
      <c r="D20" s="13">
        <f>IF(OR(B20="",C20=""),"",C20-B20)</f>
        <v/>
      </c>
    </row>
    <row r="21">
      <c r="A21" s="13">
        <f>TARGET_KURVA_S!B21</f>
        <v/>
      </c>
      <c r="B21" s="13">
        <f>TARGET_KURVA_S!D21</f>
        <v/>
      </c>
      <c r="C21" s="13" t="inlineStr"/>
      <c r="D21" s="13">
        <f>IF(OR(B21="",C21=""),"",C21-B21)</f>
        <v/>
      </c>
    </row>
    <row r="22">
      <c r="A22" s="13">
        <f>TARGET_KURVA_S!B22</f>
        <v/>
      </c>
      <c r="B22" s="13">
        <f>TARGET_KURVA_S!D22</f>
        <v/>
      </c>
      <c r="C22" s="13" t="inlineStr"/>
      <c r="D22" s="13">
        <f>IF(OR(B22="",C22=""),"",C22-B22)</f>
        <v/>
      </c>
    </row>
    <row r="23">
      <c r="A23" s="13">
        <f>TARGET_KURVA_S!B23</f>
        <v/>
      </c>
      <c r="B23" s="13">
        <f>TARGET_KURVA_S!D23</f>
        <v/>
      </c>
      <c r="C23" s="13" t="inlineStr"/>
      <c r="D23" s="13">
        <f>IF(OR(B23="",C23=""),"",C23-B23)</f>
        <v/>
      </c>
    </row>
    <row r="24">
      <c r="A24" s="13">
        <f>TARGET_KURVA_S!B24</f>
        <v/>
      </c>
      <c r="B24" s="13">
        <f>TARGET_KURVA_S!D24</f>
        <v/>
      </c>
      <c r="C24" s="13" t="inlineStr"/>
      <c r="D24" s="13">
        <f>IF(OR(B24="",C24=""),"",C24-B24)</f>
        <v/>
      </c>
    </row>
    <row r="25">
      <c r="A25" s="13">
        <f>TARGET_KURVA_S!B25</f>
        <v/>
      </c>
      <c r="B25" s="13">
        <f>TARGET_KURVA_S!D25</f>
        <v/>
      </c>
      <c r="C25" s="13" t="inlineStr"/>
      <c r="D25" s="13">
        <f>IF(OR(B25="",C25=""),"",C25-B25)</f>
        <v/>
      </c>
    </row>
    <row r="26">
      <c r="A26" s="13">
        <f>TARGET_KURVA_S!B26</f>
        <v/>
      </c>
      <c r="B26" s="13">
        <f>TARGET_KURVA_S!D26</f>
        <v/>
      </c>
      <c r="C26" s="13" t="inlineStr"/>
      <c r="D26" s="13">
        <f>IF(OR(B26="",C26=""),"",C26-B26)</f>
        <v/>
      </c>
    </row>
    <row r="27">
      <c r="A27" s="13">
        <f>TARGET_KURVA_S!B27</f>
        <v/>
      </c>
      <c r="B27" s="13">
        <f>TARGET_KURVA_S!D27</f>
        <v/>
      </c>
      <c r="C27" s="13" t="inlineStr"/>
      <c r="D27" s="13">
        <f>IF(OR(B27="",C27=""),"",C27-B27)</f>
        <v/>
      </c>
    </row>
    <row r="28">
      <c r="A28" s="13">
        <f>TARGET_KURVA_S!B28</f>
        <v/>
      </c>
      <c r="B28" s="13">
        <f>TARGET_KURVA_S!D28</f>
        <v/>
      </c>
      <c r="C28" s="13" t="inlineStr"/>
      <c r="D28" s="13">
        <f>IF(OR(B28="",C28=""),"",C28-B28)</f>
        <v/>
      </c>
    </row>
    <row r="29">
      <c r="A29" s="13">
        <f>TARGET_KURVA_S!B29</f>
        <v/>
      </c>
      <c r="B29" s="13">
        <f>TARGET_KURVA_S!D29</f>
        <v/>
      </c>
      <c r="C29" s="13" t="inlineStr"/>
      <c r="D29" s="13">
        <f>IF(OR(B29="",C29=""),"",C29-B29)</f>
        <v/>
      </c>
    </row>
    <row r="30">
      <c r="A30" s="13">
        <f>TARGET_KURVA_S!B30</f>
        <v/>
      </c>
      <c r="B30" s="13">
        <f>TARGET_KURVA_S!D30</f>
        <v/>
      </c>
      <c r="C30" s="13" t="inlineStr"/>
      <c r="D30" s="13">
        <f>IF(OR(B30="",C30=""),"",C30-B30)</f>
        <v/>
      </c>
    </row>
    <row r="31">
      <c r="A31" s="13">
        <f>TARGET_KURVA_S!B31</f>
        <v/>
      </c>
      <c r="B31" s="13">
        <f>TARGET_KURVA_S!D31</f>
        <v/>
      </c>
      <c r="C31" s="13" t="inlineStr"/>
      <c r="D31" s="13">
        <f>IF(OR(B31="",C31=""),"",C31-B31)</f>
        <v/>
      </c>
    </row>
    <row r="32">
      <c r="A32" s="13">
        <f>TARGET_KURVA_S!B32</f>
        <v/>
      </c>
      <c r="B32" s="13">
        <f>TARGET_KURVA_S!D32</f>
        <v/>
      </c>
      <c r="C32" s="13" t="inlineStr"/>
      <c r="D32" s="13">
        <f>IF(OR(B32="",C32=""),"",C32-B32)</f>
        <v/>
      </c>
    </row>
    <row r="33">
      <c r="A33" s="13">
        <f>TARGET_KURVA_S!B33</f>
        <v/>
      </c>
      <c r="B33" s="13">
        <f>TARGET_KURVA_S!D33</f>
        <v/>
      </c>
      <c r="C33" s="13" t="inlineStr"/>
      <c r="D33" s="13">
        <f>IF(OR(B33="",C33=""),"",C33-B33)</f>
        <v/>
      </c>
    </row>
    <row r="34">
      <c r="A34" s="13">
        <f>TARGET_KURVA_S!B34</f>
        <v/>
      </c>
      <c r="B34" s="13">
        <f>TARGET_KURVA_S!D34</f>
        <v/>
      </c>
      <c r="C34" s="13" t="inlineStr"/>
      <c r="D34" s="13">
        <f>IF(OR(B34="",C34=""),"",C34-B34)</f>
        <v/>
      </c>
    </row>
    <row r="35">
      <c r="A35" s="13">
        <f>TARGET_KURVA_S!B35</f>
        <v/>
      </c>
      <c r="B35" s="13">
        <f>TARGET_KURVA_S!D35</f>
        <v/>
      </c>
      <c r="C35" s="13" t="inlineStr"/>
      <c r="D35" s="13">
        <f>IF(OR(B35="",C35=""),"",C35-B35)</f>
        <v/>
      </c>
    </row>
    <row r="36">
      <c r="A36" s="13">
        <f>TARGET_KURVA_S!B36</f>
        <v/>
      </c>
      <c r="B36" s="13">
        <f>TARGET_KURVA_S!D36</f>
        <v/>
      </c>
      <c r="C36" s="13" t="inlineStr"/>
      <c r="D36" s="13">
        <f>IF(OR(B36="",C36=""),"",C36-B36)</f>
        <v/>
      </c>
    </row>
    <row r="37">
      <c r="A37" s="13">
        <f>TARGET_KURVA_S!B37</f>
        <v/>
      </c>
      <c r="B37" s="13">
        <f>TARGET_KURVA_S!D37</f>
        <v/>
      </c>
      <c r="C37" s="13" t="inlineStr"/>
      <c r="D37" s="13">
        <f>IF(OR(B37="",C37=""),"",C37-B37)</f>
        <v/>
      </c>
    </row>
    <row r="38">
      <c r="A38" s="13">
        <f>TARGET_KURVA_S!B38</f>
        <v/>
      </c>
      <c r="B38" s="13">
        <f>TARGET_KURVA_S!D38</f>
        <v/>
      </c>
      <c r="C38" s="13" t="inlineStr"/>
      <c r="D38" s="13">
        <f>IF(OR(B38="",C38=""),"",C38-B38)</f>
        <v/>
      </c>
    </row>
    <row r="39">
      <c r="A39" s="13">
        <f>TARGET_KURVA_S!B39</f>
        <v/>
      </c>
      <c r="B39" s="13">
        <f>TARGET_KURVA_S!D39</f>
        <v/>
      </c>
      <c r="C39" s="13" t="inlineStr"/>
      <c r="D39" s="13">
        <f>IF(OR(B39="",C39=""),"",C39-B39)</f>
        <v/>
      </c>
    </row>
    <row r="40">
      <c r="A40" s="13">
        <f>TARGET_KURVA_S!B40</f>
        <v/>
      </c>
      <c r="B40" s="13">
        <f>TARGET_KURVA_S!D40</f>
        <v/>
      </c>
      <c r="C40" s="13" t="inlineStr"/>
      <c r="D40" s="13">
        <f>IF(OR(B40="",C40=""),"",C40-B40)</f>
        <v/>
      </c>
    </row>
    <row r="41">
      <c r="A41" s="13">
        <f>TARGET_KURVA_S!B41</f>
        <v/>
      </c>
      <c r="B41" s="13">
        <f>TARGET_KURVA_S!D41</f>
        <v/>
      </c>
      <c r="C41" s="13" t="inlineStr"/>
      <c r="D41" s="13">
        <f>IF(OR(B41="",C41=""),"",C41-B41)</f>
        <v/>
      </c>
    </row>
    <row r="42">
      <c r="A42" s="13">
        <f>TARGET_KURVA_S!B42</f>
        <v/>
      </c>
      <c r="B42" s="13">
        <f>TARGET_KURVA_S!D42</f>
        <v/>
      </c>
      <c r="C42" s="13" t="inlineStr"/>
      <c r="D42" s="13">
        <f>IF(OR(B42="",C42=""),"",C42-B42)</f>
        <v/>
      </c>
    </row>
    <row r="43">
      <c r="A43" s="13">
        <f>TARGET_KURVA_S!B43</f>
        <v/>
      </c>
      <c r="B43" s="13">
        <f>TARGET_KURVA_S!D43</f>
        <v/>
      </c>
      <c r="C43" s="13" t="inlineStr"/>
      <c r="D43" s="13">
        <f>IF(OR(B43="",C43=""),"",C43-B43)</f>
        <v/>
      </c>
    </row>
    <row r="44">
      <c r="A44" s="13">
        <f>TARGET_KURVA_S!B44</f>
        <v/>
      </c>
      <c r="B44" s="13">
        <f>TARGET_KURVA_S!D44</f>
        <v/>
      </c>
      <c r="C44" s="13" t="inlineStr"/>
      <c r="D44" s="13">
        <f>IF(OR(B44="",C44=""),"",C44-B44)</f>
        <v/>
      </c>
    </row>
    <row r="45">
      <c r="A45" s="13">
        <f>TARGET_KURVA_S!B45</f>
        <v/>
      </c>
      <c r="B45" s="13">
        <f>TARGET_KURVA_S!D45</f>
        <v/>
      </c>
      <c r="C45" s="13" t="inlineStr"/>
      <c r="D45" s="13">
        <f>IF(OR(B45="",C45=""),"",C45-B45)</f>
        <v/>
      </c>
    </row>
    <row r="46">
      <c r="A46" s="13">
        <f>TARGET_KURVA_S!B46</f>
        <v/>
      </c>
      <c r="B46" s="13">
        <f>TARGET_KURVA_S!D46</f>
        <v/>
      </c>
      <c r="C46" s="13" t="inlineStr"/>
      <c r="D46" s="13">
        <f>IF(OR(B46="",C46=""),"",C46-B46)</f>
        <v/>
      </c>
    </row>
    <row r="47">
      <c r="A47" s="13">
        <f>TARGET_KURVA_S!B47</f>
        <v/>
      </c>
      <c r="B47" s="13">
        <f>TARGET_KURVA_S!D47</f>
        <v/>
      </c>
      <c r="C47" s="13" t="inlineStr"/>
      <c r="D47" s="13">
        <f>IF(OR(B47="",C47=""),"",C47-B47)</f>
        <v/>
      </c>
    </row>
    <row r="48">
      <c r="A48" s="13">
        <f>TARGET_KURVA_S!B48</f>
        <v/>
      </c>
      <c r="B48" s="13">
        <f>TARGET_KURVA_S!D48</f>
        <v/>
      </c>
      <c r="C48" s="13" t="inlineStr"/>
      <c r="D48" s="13">
        <f>IF(OR(B48="",C48=""),"",C48-B48)</f>
        <v/>
      </c>
    </row>
    <row r="49">
      <c r="A49" s="13">
        <f>TARGET_KURVA_S!B49</f>
        <v/>
      </c>
      <c r="B49" s="13">
        <f>TARGET_KURVA_S!D49</f>
        <v/>
      </c>
      <c r="C49" s="13" t="inlineStr"/>
      <c r="D49" s="13">
        <f>IF(OR(B49="",C49=""),"",C49-B49)</f>
        <v/>
      </c>
    </row>
    <row r="50">
      <c r="A50" s="13">
        <f>TARGET_KURVA_S!B50</f>
        <v/>
      </c>
      <c r="B50" s="13">
        <f>TARGET_KURVA_S!D50</f>
        <v/>
      </c>
      <c r="C50" s="13" t="inlineStr"/>
      <c r="D50" s="13">
        <f>IF(OR(B50="",C50=""),"",C50-B50)</f>
        <v/>
      </c>
    </row>
    <row r="51">
      <c r="A51" s="13">
        <f>TARGET_KURVA_S!B51</f>
        <v/>
      </c>
      <c r="B51" s="13">
        <f>TARGET_KURVA_S!D51</f>
        <v/>
      </c>
      <c r="C51" s="13" t="inlineStr"/>
      <c r="D51" s="13">
        <f>IF(OR(B51="",C51=""),"",C51-B51)</f>
        <v/>
      </c>
    </row>
    <row r="52">
      <c r="A52" s="13">
        <f>TARGET_KURVA_S!B52</f>
        <v/>
      </c>
      <c r="B52" s="13">
        <f>TARGET_KURVA_S!D52</f>
        <v/>
      </c>
      <c r="C52" s="13" t="inlineStr"/>
      <c r="D52" s="13">
        <f>IF(OR(B52="",C52=""),"",C52-B52)</f>
        <v/>
      </c>
    </row>
    <row r="53">
      <c r="A53" s="13">
        <f>TARGET_KURVA_S!B53</f>
        <v/>
      </c>
      <c r="B53" s="13">
        <f>TARGET_KURVA_S!D53</f>
        <v/>
      </c>
      <c r="C53" s="13" t="inlineStr"/>
      <c r="D53" s="13">
        <f>IF(OR(B53="",C53=""),"",C53-B53)</f>
        <v/>
      </c>
    </row>
    <row r="54">
      <c r="A54" s="13">
        <f>TARGET_KURVA_S!B54</f>
        <v/>
      </c>
      <c r="B54" s="13">
        <f>TARGET_KURVA_S!D54</f>
        <v/>
      </c>
      <c r="C54" s="13" t="inlineStr"/>
      <c r="D54" s="13">
        <f>IF(OR(B54="",C54=""),"",C54-B54)</f>
        <v/>
      </c>
    </row>
    <row r="55">
      <c r="A55" s="13">
        <f>TARGET_KURVA_S!B55</f>
        <v/>
      </c>
      <c r="B55" s="13">
        <f>TARGET_KURVA_S!D55</f>
        <v/>
      </c>
      <c r="C55" s="13" t="inlineStr"/>
      <c r="D55" s="13">
        <f>IF(OR(B55="",C55=""),"",C55-B55)</f>
        <v/>
      </c>
    </row>
    <row r="56">
      <c r="A56" s="13">
        <f>TARGET_KURVA_S!B56</f>
        <v/>
      </c>
      <c r="B56" s="13">
        <f>TARGET_KURVA_S!D56</f>
        <v/>
      </c>
      <c r="C56" s="13" t="inlineStr"/>
      <c r="D56" s="13">
        <f>IF(OR(B56="",C56=""),"",C56-B56)</f>
        <v/>
      </c>
    </row>
    <row r="57">
      <c r="A57" s="13">
        <f>TARGET_KURVA_S!B57</f>
        <v/>
      </c>
      <c r="B57" s="13">
        <f>TARGET_KURVA_S!D57</f>
        <v/>
      </c>
      <c r="C57" s="13" t="inlineStr"/>
      <c r="D57" s="13">
        <f>IF(OR(B57="",C57=""),"",C57-B57)</f>
        <v/>
      </c>
    </row>
    <row r="58">
      <c r="A58" s="13">
        <f>TARGET_KURVA_S!B58</f>
        <v/>
      </c>
      <c r="B58" s="13">
        <f>TARGET_KURVA_S!D58</f>
        <v/>
      </c>
      <c r="C58" s="13" t="inlineStr"/>
      <c r="D58" s="13">
        <f>IF(OR(B58="",C58=""),"",C58-B58)</f>
        <v/>
      </c>
    </row>
    <row r="59">
      <c r="A59" s="13">
        <f>TARGET_KURVA_S!B59</f>
        <v/>
      </c>
      <c r="B59" s="13">
        <f>TARGET_KURVA_S!D59</f>
        <v/>
      </c>
      <c r="C59" s="13" t="inlineStr"/>
      <c r="D59" s="13">
        <f>IF(OR(B59="",C59=""),"",C59-B59)</f>
        <v/>
      </c>
    </row>
    <row r="60">
      <c r="A60" s="13">
        <f>TARGET_KURVA_S!B60</f>
        <v/>
      </c>
      <c r="B60" s="13">
        <f>TARGET_KURVA_S!D60</f>
        <v/>
      </c>
      <c r="C60" s="13" t="inlineStr"/>
      <c r="D60" s="13">
        <f>IF(OR(B60="",C60=""),"",C60-B60)</f>
        <v/>
      </c>
    </row>
    <row r="61">
      <c r="A61" s="13">
        <f>TARGET_KURVA_S!B61</f>
        <v/>
      </c>
      <c r="B61" s="13">
        <f>TARGET_KURVA_S!D61</f>
        <v/>
      </c>
      <c r="C61" s="13" t="inlineStr"/>
      <c r="D61" s="13">
        <f>IF(OR(B61="",C61=""),"",C61-B61)</f>
        <v/>
      </c>
    </row>
    <row r="62">
      <c r="A62" s="13">
        <f>TARGET_KURVA_S!B62</f>
        <v/>
      </c>
      <c r="B62" s="13">
        <f>TARGET_KURVA_S!D62</f>
        <v/>
      </c>
      <c r="C62" s="13" t="inlineStr"/>
      <c r="D62" s="13">
        <f>IF(OR(B62="",C62=""),"",C62-B62)</f>
        <v/>
      </c>
    </row>
    <row r="63">
      <c r="A63" s="13">
        <f>TARGET_KURVA_S!B63</f>
        <v/>
      </c>
      <c r="B63" s="13">
        <f>TARGET_KURVA_S!D63</f>
        <v/>
      </c>
      <c r="C63" s="13" t="inlineStr"/>
      <c r="D63" s="13">
        <f>IF(OR(B63="",C63=""),"",C63-B63)</f>
        <v/>
      </c>
    </row>
    <row r="64">
      <c r="A64" s="13">
        <f>TARGET_KURVA_S!B64</f>
        <v/>
      </c>
      <c r="B64" s="13">
        <f>TARGET_KURVA_S!D64</f>
        <v/>
      </c>
      <c r="C64" s="13" t="inlineStr"/>
      <c r="D64" s="13">
        <f>IF(OR(B64="",C64=""),"",C64-B64)</f>
        <v/>
      </c>
    </row>
    <row r="65">
      <c r="A65" s="13">
        <f>TARGET_KURVA_S!B65</f>
        <v/>
      </c>
      <c r="B65" s="13">
        <f>TARGET_KURVA_S!D65</f>
        <v/>
      </c>
      <c r="C65" s="13" t="inlineStr"/>
      <c r="D65" s="13">
        <f>IF(OR(B65="",C65=""),"",C65-B65)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2" t="inlineStr">
        <is>
          <t>BAGIAN</t>
        </is>
      </c>
      <c r="B1" s="12" t="inlineStr">
        <is>
          <t>PENJELASAN</t>
        </is>
      </c>
    </row>
    <row r="2">
      <c r="A2" s="2" t="inlineStr">
        <is>
          <t>TUJUAN TEMPLATE</t>
        </is>
      </c>
      <c r="B2" s="2" t="inlineStr">
        <is>
          <t>Template ini menjadi standar upload RAB per proyek agar bisa diparse ke Supabase dan dipakai untuk bobot + Kurva S.</t>
        </is>
      </c>
    </row>
    <row r="3">
      <c r="A3" s="2" t="inlineStr">
        <is>
          <t>SHEET INFO_PROJECT</t>
        </is>
      </c>
      <c r="B3" s="2" t="inlineStr">
        <is>
          <t>Isi metadata proyek sesuai Google Sheet PROJECT MONITORING. Minimal: source_row_id, no_spi, nama_proyek, nilai_kontrak, start_date, end_date.</t>
        </is>
      </c>
    </row>
    <row r="4">
      <c r="A4" s="2" t="inlineStr">
        <is>
          <t>SHEET RAB_BOQ</t>
        </is>
      </c>
      <c r="B4" s="2" t="inlineStr">
        <is>
          <t>Isi detail item RAB/BOQ. Kolom wajib: source_row_id, area, code, description, unit, volume, unit_price, total_price, weight_percent.</t>
        </is>
      </c>
    </row>
    <row r="5">
      <c r="A5" s="2" t="inlineStr">
        <is>
          <t>SHEET TARGET_KURVA_S</t>
        </is>
      </c>
      <c r="B5" s="2" t="inlineStr">
        <is>
          <t>Isi target progress rencana per periode. Kolom planned_percent_cumulative akan dipakai sebagai target Kurva S.</t>
        </is>
      </c>
    </row>
    <row r="6">
      <c r="A6" s="2" t="inlineStr">
        <is>
          <t>BOBOT</t>
        </is>
      </c>
      <c r="B6" s="2" t="inlineStr">
        <is>
          <t>Rumus bobot = total_price / nilai_kontrak x 100. Total bobot idealnya mendekati 100%. Jika nilai RAB parsial, nilai_kontrak bisa diganti nilai total RAB parsial.</t>
        </is>
      </c>
    </row>
    <row r="7">
      <c r="A7" s="2" t="inlineStr">
        <is>
          <t>UPLOAD PDF</t>
        </is>
      </c>
      <c r="B7" s="2" t="inlineStr">
        <is>
          <t>PDF boleh diupload sebagai arsip, tetapi import otomatis disarankan memakai Excel karena struktur datanya lebih stabil.</t>
        </is>
      </c>
    </row>
    <row r="8">
      <c r="A8" s="2" t="inlineStr">
        <is>
          <t>IMPORT KE SUPABASE</t>
        </is>
      </c>
      <c r="B8" s="2" t="inlineStr">
        <is>
          <t>Data INFO_PROJECT masuk projects, RAB_BOQ masuk boq_items, TARGET_KURVA_S masuk progress_targets. Input aktual koordinator tetap masuk progress_entries lewat aplikasi.</t>
        </is>
      </c>
    </row>
    <row r="9">
      <c r="A9" s="2" t="inlineStr">
        <is>
          <t>TIPS SOURCE_ROW_ID</t>
        </is>
      </c>
      <c r="B9" s="2" t="inlineStr">
        <is>
          <t>Gunakan ID unik stabil, contoh: 0390-SPI-OK1-001. Jangan berubah saat update file agar proses upsert tidak membuat data dobel.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2026-06-11T09:37:55Z</dcterms:created>
  <dcterms:modified xmlns:dcterms="http://purl.org/dc/terms/" xmlns:xsi="http://www.w3.org/2001/XMLSchema-instance" xsi:type="dcterms:W3CDTF">2026-06-11T09:37:55Z</dcterms:modified>
</cp:coreProperties>
</file>
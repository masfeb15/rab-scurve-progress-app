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B" sheetId="1" state="visible" r:id="rId1"/>
    <sheet xmlns:r="http://schemas.openxmlformats.org/officeDocument/2006/relationships" name="TARGET_KURVA_S" sheetId="2" state="visible" r:id="rId2"/>
    <sheet xmlns:r="http://schemas.openxmlformats.org/officeDocument/2006/relationships" name="IMPORT_MAPPING" sheetId="3" state="visible" r:id="rId3"/>
    <sheet xmlns:r="http://schemas.openxmlformats.org/officeDocument/2006/relationships" name="INSTRUKSI" sheetId="4" state="visible" r:id="rId4"/>
  </sheets>
  <definedNames>
    <definedName name="_xlnm._FilterDatabase" localSheetId="0" hidden="1">'RAB'!$A$8:$I$30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1"/>
    </font>
    <font>
      <b val="1"/>
      <color rgb="00111827"/>
    </font>
    <font>
      <b val="1"/>
      <color rgb="00FFFFFF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0B3A5B"/>
      </patternFill>
    </fill>
    <fill>
      <patternFill patternType="solid">
        <fgColor rgb="00F3F4F6"/>
      </patternFill>
    </fill>
    <fill>
      <patternFill patternType="solid">
        <fgColor rgb="00D9EAF7"/>
      </patternFill>
    </fill>
    <fill>
      <patternFill patternType="solid">
        <fgColor rgb="00FEF3C7"/>
      </patternFill>
    </fill>
    <fill>
      <patternFill patternType="solid">
        <fgColor rgb="00FCD34D"/>
      </patternFill>
    </fill>
  </fills>
  <borders count="3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left style="thin">
        <color rgb="009CA3AF"/>
      </left>
      <right style="thin">
        <color rgb="009CA3AF"/>
      </right>
      <top style="medium">
        <color rgb="00374151"/>
      </top>
      <bottom style="medium">
        <color rgb="0037415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4" fillId="2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3" fontId="5" fillId="4" borderId="1" applyAlignment="1" pivotButton="0" quotePrefix="0" xfId="0">
      <alignment vertical="center"/>
    </xf>
    <xf numFmtId="10" fontId="5" fillId="4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5" fillId="5" borderId="1" pivotButton="0" quotePrefix="0" xfId="0"/>
    <xf numFmtId="3" fontId="5" fillId="5" borderId="1" pivotButton="0" quotePrefix="0" xfId="0"/>
    <xf numFmtId="10" fontId="5" fillId="5" borderId="1" pivotButton="0" quotePrefix="0" xfId="0"/>
    <xf numFmtId="0" fontId="6" fillId="6" borderId="2" pivotButton="0" quotePrefix="0" xfId="0"/>
    <xf numFmtId="3" fontId="6" fillId="6" borderId="2" pivotButton="0" quotePrefix="0" xfId="0"/>
    <xf numFmtId="10" fontId="6" fillId="6" borderId="2" pivotButton="0" quotePrefix="0" xfId="0"/>
    <xf numFmtId="0" fontId="0" fillId="3" borderId="1" applyAlignment="1" pivotButton="0" quotePrefix="0" xfId="0">
      <alignment wrapText="1"/>
    </xf>
    <xf numFmtId="0" fontId="4" fillId="2" borderId="1" applyAlignment="1" pivotButton="0" quotePrefix="0" xfId="0">
      <alignment horizontal="center" wrapText="1"/>
    </xf>
    <xf numFmtId="164" fontId="0" fillId="0" borderId="1" applyAlignment="1" pivotButton="0" quotePrefix="0" xfId="0">
      <alignment vertical="top" wrapText="1"/>
    </xf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Preview Kurva S Target</a:t>
            </a:r>
          </a:p>
        </rich>
      </tx>
    </title>
    <plotArea>
      <lineChart>
        <grouping val="standard"/>
        <ser>
          <idx val="0"/>
          <order val="0"/>
          <tx>
            <strRef>
              <f>'TARGET_KURVA_S'!D1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'TARGET_KURVA_S'!$B$2:$B$15</f>
            </numRef>
          </cat>
          <val>
            <numRef>
              <f>'TARGET_KURVA_S'!$D$2:$D$15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Progress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Arena</author>
  </authors>
  <commentList>
    <comment ref="G8" authorId="0" shapeId="0">
      <text>
        <t>Bobot dalam format persen Excel. Saat import dikonversi ke angka 0-100 untuk Supabase weight_percent.</t>
      </text>
    </comment>
    <comment ref="I8" authorId="0" shapeId="0">
      <text>
        <t>ID unik per item agar upload ulang bisa upsert. Jangan dibuat duplikat.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2" customWidth="1" min="3" max="3"/>
    <col width="12" customWidth="1" min="4" max="4"/>
    <col width="20" customWidth="1" min="5" max="5"/>
    <col width="22" customWidth="1" min="6" max="6"/>
    <col width="14" customWidth="1" min="7" max="7"/>
    <col width="28" customWidth="1" min="8" max="8"/>
    <col width="24" customWidth="1" min="9" max="9"/>
  </cols>
  <sheetData>
    <row r="1">
      <c r="A1" s="1" t="inlineStr">
        <is>
          <t>🏗️  RENCANA ANGGARAN BIAYA (RAB)</t>
        </is>
      </c>
    </row>
    <row r="2">
      <c r="A2" s="2" t="inlineStr">
        <is>
          <t>PT. SANDANA — Project Monitoring System</t>
        </is>
      </c>
    </row>
    <row r="4">
      <c r="A4" s="3" t="inlineStr">
        <is>
          <t>Nama Proyek</t>
        </is>
      </c>
      <c r="B4" s="4" t="inlineStr">
        <is>
          <t>RS HARUM SISMA MEDIKA - NC</t>
        </is>
      </c>
      <c r="C4" s="4" t="n"/>
      <c r="F4" s="3" t="inlineStr">
        <is>
          <t>Area / Wilayah</t>
        </is>
      </c>
      <c r="G4" s="4" t="inlineStr">
        <is>
          <t>BARAT / BARTEN 1</t>
        </is>
      </c>
      <c r="H4" s="4" t="n"/>
      <c r="I4" s="4" t="n"/>
    </row>
    <row r="5">
      <c r="A5" s="3" t="inlineStr">
        <is>
          <t>No. SPI</t>
        </is>
      </c>
      <c r="B5" s="4" t="inlineStr">
        <is>
          <t>0390/SPI</t>
        </is>
      </c>
      <c r="C5" s="4" t="n"/>
      <c r="F5" s="3" t="inlineStr">
        <is>
          <t>Tanggal RAB</t>
        </is>
      </c>
      <c r="G5" s="4" t="inlineStr">
        <is>
          <t>2026-06-11</t>
        </is>
      </c>
      <c r="H5" s="4" t="n"/>
      <c r="I5" s="4" t="n"/>
    </row>
    <row r="6">
      <c r="A6" s="3" t="inlineStr">
        <is>
          <t>Kode Project</t>
        </is>
      </c>
      <c r="B6" s="4" t="inlineStr">
        <is>
          <t>11485140</t>
        </is>
      </c>
      <c r="C6" s="4" t="n"/>
      <c r="F6" s="3" t="inlineStr">
        <is>
          <t>Nilai Kontrak</t>
        </is>
      </c>
      <c r="G6" s="5">
        <f>F31</f>
        <v/>
      </c>
      <c r="H6" s="4" t="n"/>
      <c r="I6" s="4" t="n"/>
    </row>
    <row r="8">
      <c r="A8" s="6" t="inlineStr">
        <is>
          <t>No</t>
        </is>
      </c>
      <c r="B8" s="6" t="inlineStr">
        <is>
          <t>Uraian Pekerjaan</t>
        </is>
      </c>
      <c r="C8" s="6" t="inlineStr">
        <is>
          <t>Volume</t>
        </is>
      </c>
      <c r="D8" s="6" t="inlineStr">
        <is>
          <t>Satuan</t>
        </is>
      </c>
      <c r="E8" s="6" t="inlineStr">
        <is>
          <t>Harga Satuan (Rp)</t>
        </is>
      </c>
      <c r="F8" s="6" t="inlineStr">
        <is>
          <t>Jumlah Harga (Rp)</t>
        </is>
      </c>
      <c r="G8" s="6" t="inlineStr">
        <is>
          <t>Bobot (%)</t>
        </is>
      </c>
      <c r="H8" s="6" t="inlineStr">
        <is>
          <t>Keterangan</t>
        </is>
      </c>
      <c r="I8" s="6" t="inlineStr">
        <is>
          <t>source_row_id</t>
        </is>
      </c>
    </row>
    <row r="9">
      <c r="A9" s="7" t="inlineStr">
        <is>
          <t>I</t>
        </is>
      </c>
      <c r="B9" s="7" t="inlineStr">
        <is>
          <t>PEKERJAAN SIPIL</t>
        </is>
      </c>
      <c r="C9" s="7" t="n"/>
      <c r="D9" s="7" t="n"/>
      <c r="E9" s="8" t="n"/>
      <c r="F9" s="8" t="n"/>
      <c r="G9" s="9" t="n"/>
      <c r="H9" s="7" t="n"/>
      <c r="I9" s="7" t="n"/>
    </row>
    <row r="10">
      <c r="A10" s="10" t="n">
        <v>1</v>
      </c>
      <c r="B10" s="10" t="inlineStr">
        <is>
          <t>Pekerjaan Persiapan &amp; Mobilisasi</t>
        </is>
      </c>
      <c r="C10" s="10" t="n">
        <v>1</v>
      </c>
      <c r="D10" s="10" t="inlineStr">
        <is>
          <t>Ls</t>
        </is>
      </c>
      <c r="E10" s="11" t="n">
        <v>25000000</v>
      </c>
      <c r="F10" s="11">
        <f>C10*E10</f>
        <v/>
      </c>
      <c r="G10" s="12">
        <f>IF($G$6=0,"",F10/$G$6)</f>
        <v/>
      </c>
      <c r="H10" s="10" t="inlineStr"/>
      <c r="I10" s="10">
        <f>SUBSTITUTE($B$5,"/","-")&amp;"-I-"&amp;TEXT(A10,"000")</f>
        <v/>
      </c>
    </row>
    <row r="11">
      <c r="A11" s="10" t="n">
        <v>2</v>
      </c>
      <c r="B11" s="10" t="inlineStr">
        <is>
          <t>Pekerjaan Pondasi</t>
        </is>
      </c>
      <c r="C11" s="10" t="n">
        <v>1</v>
      </c>
      <c r="D11" s="10" t="inlineStr">
        <is>
          <t>Ls</t>
        </is>
      </c>
      <c r="E11" s="11" t="n">
        <v>120000000</v>
      </c>
      <c r="F11" s="11">
        <f>C11*E11</f>
        <v/>
      </c>
      <c r="G11" s="12">
        <f>IF($G$6=0,"",F11/$G$6)</f>
        <v/>
      </c>
      <c r="H11" s="10" t="inlineStr"/>
      <c r="I11" s="10">
        <f>SUBSTITUTE($B$5,"/","-")&amp;"-I-"&amp;TEXT(A11,"000")</f>
        <v/>
      </c>
    </row>
    <row r="12">
      <c r="A12" s="10" t="n">
        <v>3</v>
      </c>
      <c r="B12" s="10" t="inlineStr">
        <is>
          <t>Pekerjaan Struktur Beton</t>
        </is>
      </c>
      <c r="C12" s="10" t="n">
        <v>1</v>
      </c>
      <c r="D12" s="10" t="inlineStr">
        <is>
          <t>Ls</t>
        </is>
      </c>
      <c r="E12" s="11" t="n">
        <v>350000000</v>
      </c>
      <c r="F12" s="11">
        <f>C12*E12</f>
        <v/>
      </c>
      <c r="G12" s="12">
        <f>IF($G$6=0,"",F12/$G$6)</f>
        <v/>
      </c>
      <c r="H12" s="10" t="inlineStr"/>
      <c r="I12" s="10">
        <f>SUBSTITUTE($B$5,"/","-")&amp;"-I-"&amp;TEXT(A12,"000")</f>
        <v/>
      </c>
    </row>
    <row r="13">
      <c r="A13" s="10" t="n">
        <v>4</v>
      </c>
      <c r="B13" s="10" t="inlineStr">
        <is>
          <t>Pekerjaan Dinding &amp; Plesteran</t>
        </is>
      </c>
      <c r="C13" s="10" t="n">
        <v>500</v>
      </c>
      <c r="D13" s="10" t="inlineStr">
        <is>
          <t>m²</t>
        </is>
      </c>
      <c r="E13" s="11" t="n">
        <v>450000</v>
      </c>
      <c r="F13" s="11">
        <f>C13*E13</f>
        <v/>
      </c>
      <c r="G13" s="12">
        <f>IF($G$6=0,"",F13/$G$6)</f>
        <v/>
      </c>
      <c r="H13" s="10" t="inlineStr"/>
      <c r="I13" s="10">
        <f>SUBSTITUTE($B$5,"/","-")&amp;"-I-"&amp;TEXT(A13,"000")</f>
        <v/>
      </c>
    </row>
    <row r="14">
      <c r="A14" s="10" t="n">
        <v>5</v>
      </c>
      <c r="B14" s="10" t="inlineStr">
        <is>
          <t>Pekerjaan Lantai &amp; Keramik</t>
        </is>
      </c>
      <c r="C14" s="10" t="n">
        <v>300</v>
      </c>
      <c r="D14" s="10" t="inlineStr">
        <is>
          <t>m²</t>
        </is>
      </c>
      <c r="E14" s="11" t="n">
        <v>375000</v>
      </c>
      <c r="F14" s="11">
        <f>C14*E14</f>
        <v/>
      </c>
      <c r="G14" s="12">
        <f>IF($G$6=0,"",F14/$G$6)</f>
        <v/>
      </c>
      <c r="H14" s="10" t="inlineStr"/>
      <c r="I14" s="10">
        <f>SUBSTITUTE($B$5,"/","-")&amp;"-I-"&amp;TEXT(A14,"000")</f>
        <v/>
      </c>
    </row>
    <row r="15">
      <c r="A15" s="10" t="n">
        <v>6</v>
      </c>
      <c r="B15" s="10" t="inlineStr">
        <is>
          <t>Pekerjaan Atap &amp; Plafon</t>
        </is>
      </c>
      <c r="C15" s="10" t="n">
        <v>250</v>
      </c>
      <c r="D15" s="10" t="inlineStr">
        <is>
          <t>m²</t>
        </is>
      </c>
      <c r="E15" s="11" t="n">
        <v>520000</v>
      </c>
      <c r="F15" s="11">
        <f>C15*E15</f>
        <v/>
      </c>
      <c r="G15" s="12">
        <f>IF($G$6=0,"",F15/$G$6)</f>
        <v/>
      </c>
      <c r="H15" s="10" t="inlineStr"/>
      <c r="I15" s="10">
        <f>SUBSTITUTE($B$5,"/","-")&amp;"-I-"&amp;TEXT(A15,"000")</f>
        <v/>
      </c>
    </row>
    <row r="16">
      <c r="A16" s="10" t="n">
        <v>7</v>
      </c>
      <c r="B16" s="10" t="inlineStr">
        <is>
          <t>Pekerjaan Pintu &amp; Jendela</t>
        </is>
      </c>
      <c r="C16" s="10" t="n">
        <v>20</v>
      </c>
      <c r="D16" s="10" t="inlineStr">
        <is>
          <t>Unit</t>
        </is>
      </c>
      <c r="E16" s="11" t="n">
        <v>3500000</v>
      </c>
      <c r="F16" s="11">
        <f>C16*E16</f>
        <v/>
      </c>
      <c r="G16" s="12">
        <f>IF($G$6=0,"",F16/$G$6)</f>
        <v/>
      </c>
      <c r="H16" s="10" t="inlineStr"/>
      <c r="I16" s="10">
        <f>SUBSTITUTE($B$5,"/","-")&amp;"-I-"&amp;TEXT(A16,"000")</f>
        <v/>
      </c>
    </row>
    <row r="17">
      <c r="A17" s="13" t="n"/>
      <c r="B17" s="13" t="inlineStr">
        <is>
          <t>JUMLAH I — PEKERJAAN SIPIL</t>
        </is>
      </c>
      <c r="C17" s="13" t="n"/>
      <c r="D17" s="13" t="n"/>
      <c r="E17" s="14" t="n"/>
      <c r="F17" s="14">
        <f>SUM(F10:F16)</f>
        <v/>
      </c>
      <c r="G17" s="15">
        <f>SUM(G10:G16)</f>
        <v/>
      </c>
      <c r="H17" s="13" t="n"/>
      <c r="I17" s="13" t="n"/>
    </row>
    <row r="18">
      <c r="A18" s="7" t="inlineStr">
        <is>
          <t>II</t>
        </is>
      </c>
      <c r="B18" s="7" t="inlineStr">
        <is>
          <t>PEKERJAAN MEKANIKAL &amp; ELEKTRIKAL</t>
        </is>
      </c>
      <c r="C18" s="7" t="n"/>
      <c r="D18" s="7" t="n"/>
      <c r="E18" s="8" t="n"/>
      <c r="F18" s="8" t="n"/>
      <c r="G18" s="9" t="n"/>
      <c r="H18" s="7" t="n"/>
      <c r="I18" s="7" t="n"/>
    </row>
    <row r="19">
      <c r="A19" s="10" t="n">
        <v>8</v>
      </c>
      <c r="B19" s="10" t="inlineStr">
        <is>
          <t>Instalasi Listrik &amp; Panel</t>
        </is>
      </c>
      <c r="C19" s="10" t="n">
        <v>1</v>
      </c>
      <c r="D19" s="10" t="inlineStr">
        <is>
          <t>Ls</t>
        </is>
      </c>
      <c r="E19" s="11" t="n">
        <v>180000000</v>
      </c>
      <c r="F19" s="11">
        <f>C19*E19</f>
        <v/>
      </c>
      <c r="G19" s="12">
        <f>IF($G$6=0,"",F19/$G$6)</f>
        <v/>
      </c>
      <c r="H19" s="10" t="inlineStr"/>
      <c r="I19" s="10">
        <f>SUBSTITUTE($B$5,"/","-")&amp;"-II-"&amp;TEXT(A19,"000")</f>
        <v/>
      </c>
    </row>
    <row r="20">
      <c r="A20" s="10" t="n">
        <v>9</v>
      </c>
      <c r="B20" s="10" t="inlineStr">
        <is>
          <t>Instalasi Plumbing &amp; Sanitasi</t>
        </is>
      </c>
      <c r="C20" s="10" t="n">
        <v>1</v>
      </c>
      <c r="D20" s="10" t="inlineStr">
        <is>
          <t>Ls</t>
        </is>
      </c>
      <c r="E20" s="11" t="n">
        <v>95000000</v>
      </c>
      <c r="F20" s="11">
        <f>C20*E20</f>
        <v/>
      </c>
      <c r="G20" s="12">
        <f>IF($G$6=0,"",F20/$G$6)</f>
        <v/>
      </c>
      <c r="H20" s="10" t="inlineStr"/>
      <c r="I20" s="10">
        <f>SUBSTITUTE($B$5,"/","-")&amp;"-II-"&amp;TEXT(A20,"000")</f>
        <v/>
      </c>
    </row>
    <row r="21">
      <c r="A21" s="10" t="n">
        <v>10</v>
      </c>
      <c r="B21" s="10" t="inlineStr">
        <is>
          <t>Sistem HVAC / Tata Udara</t>
        </is>
      </c>
      <c r="C21" s="10" t="n">
        <v>1</v>
      </c>
      <c r="D21" s="10" t="inlineStr">
        <is>
          <t>Ls</t>
        </is>
      </c>
      <c r="E21" s="11" t="n">
        <v>250000000</v>
      </c>
      <c r="F21" s="11">
        <f>C21*E21</f>
        <v/>
      </c>
      <c r="G21" s="12">
        <f>IF($G$6=0,"",F21/$G$6)</f>
        <v/>
      </c>
      <c r="H21" s="10" t="inlineStr"/>
      <c r="I21" s="10">
        <f>SUBSTITUTE($B$5,"/","-")&amp;"-II-"&amp;TEXT(A21,"000")</f>
        <v/>
      </c>
    </row>
    <row r="22">
      <c r="A22" s="10" t="n">
        <v>11</v>
      </c>
      <c r="B22" s="10" t="inlineStr">
        <is>
          <t>Instalasi Fire Alarm &amp; Hydrant</t>
        </is>
      </c>
      <c r="C22" s="10" t="n">
        <v>1</v>
      </c>
      <c r="D22" s="10" t="inlineStr">
        <is>
          <t>Ls</t>
        </is>
      </c>
      <c r="E22" s="11" t="n">
        <v>75000000</v>
      </c>
      <c r="F22" s="11">
        <f>C22*E22</f>
        <v/>
      </c>
      <c r="G22" s="12">
        <f>IF($G$6=0,"",F22/$G$6)</f>
        <v/>
      </c>
      <c r="H22" s="10" t="inlineStr"/>
      <c r="I22" s="10">
        <f>SUBSTITUTE($B$5,"/","-")&amp;"-II-"&amp;TEXT(A22,"000")</f>
        <v/>
      </c>
    </row>
    <row r="23">
      <c r="A23" s="13" t="n"/>
      <c r="B23" s="13" t="inlineStr">
        <is>
          <t>JUMLAH II — PEKERJAAN MEKANIKAL &amp; ELEKTRIKAL</t>
        </is>
      </c>
      <c r="C23" s="13" t="n"/>
      <c r="D23" s="13" t="n"/>
      <c r="E23" s="14" t="n"/>
      <c r="F23" s="14">
        <f>SUM(F19:F22)</f>
        <v/>
      </c>
      <c r="G23" s="15">
        <f>SUM(G19:G22)</f>
        <v/>
      </c>
      <c r="H23" s="13" t="n"/>
      <c r="I23" s="13" t="n"/>
    </row>
    <row r="24">
      <c r="A24" s="7" t="inlineStr">
        <is>
          <t>III</t>
        </is>
      </c>
      <c r="B24" s="7" t="inlineStr">
        <is>
          <t>PEKERJAAN INTERIOR &amp; FINISHING</t>
        </is>
      </c>
      <c r="C24" s="7" t="n"/>
      <c r="D24" s="7" t="n"/>
      <c r="E24" s="8" t="n"/>
      <c r="F24" s="8" t="n"/>
      <c r="G24" s="9" t="n"/>
      <c r="H24" s="7" t="n"/>
      <c r="I24" s="7" t="n"/>
    </row>
    <row r="25">
      <c r="A25" s="10" t="n">
        <v>12</v>
      </c>
      <c r="B25" s="10" t="inlineStr">
        <is>
          <t>Pekerjaan Plafon Gypsum</t>
        </is>
      </c>
      <c r="C25" s="10" t="n">
        <v>400</v>
      </c>
      <c r="D25" s="10" t="inlineStr">
        <is>
          <t>m²</t>
        </is>
      </c>
      <c r="E25" s="11" t="n">
        <v>350000</v>
      </c>
      <c r="F25" s="11">
        <f>C25*E25</f>
        <v/>
      </c>
      <c r="G25" s="12">
        <f>IF($G$6=0,"",F25/$G$6)</f>
        <v/>
      </c>
      <c r="H25" s="10" t="inlineStr"/>
      <c r="I25" s="10">
        <f>SUBSTITUTE($B$5,"/","-")&amp;"-III-"&amp;TEXT(A25,"000")</f>
        <v/>
      </c>
    </row>
    <row r="26">
      <c r="A26" s="10" t="n">
        <v>13</v>
      </c>
      <c r="B26" s="10" t="inlineStr">
        <is>
          <t>Pengecatan &amp; Finishing</t>
        </is>
      </c>
      <c r="C26" s="10" t="n">
        <v>800</v>
      </c>
      <c r="D26" s="10" t="inlineStr">
        <is>
          <t>m²</t>
        </is>
      </c>
      <c r="E26" s="11" t="n">
        <v>125000</v>
      </c>
      <c r="F26" s="11">
        <f>C26*E26</f>
        <v/>
      </c>
      <c r="G26" s="12">
        <f>IF($G$6=0,"",F26/$G$6)</f>
        <v/>
      </c>
      <c r="H26" s="10" t="inlineStr"/>
      <c r="I26" s="10">
        <f>SUBSTITUTE($B$5,"/","-")&amp;"-III-"&amp;TEXT(A26,"000")</f>
        <v/>
      </c>
    </row>
    <row r="27">
      <c r="A27" s="10" t="n">
        <v>14</v>
      </c>
      <c r="B27" s="10" t="inlineStr">
        <is>
          <t>Furniture &amp; Interior</t>
        </is>
      </c>
      <c r="C27" s="10" t="n">
        <v>1</v>
      </c>
      <c r="D27" s="10" t="inlineStr">
        <is>
          <t>Ls</t>
        </is>
      </c>
      <c r="E27" s="11" t="n">
        <v>450000000</v>
      </c>
      <c r="F27" s="11">
        <f>C27*E27</f>
        <v/>
      </c>
      <c r="G27" s="12">
        <f>IF($G$6=0,"",F27/$G$6)</f>
        <v/>
      </c>
      <c r="H27" s="10" t="inlineStr"/>
      <c r="I27" s="10">
        <f>SUBSTITUTE($B$5,"/","-")&amp;"-III-"&amp;TEXT(A27,"000")</f>
        <v/>
      </c>
    </row>
    <row r="28">
      <c r="A28" s="10" t="n">
        <v>15</v>
      </c>
      <c r="B28" s="10" t="inlineStr">
        <is>
          <t>Pekerjaan Luar (Landscape)</t>
        </is>
      </c>
      <c r="C28" s="10" t="n">
        <v>1</v>
      </c>
      <c r="D28" s="10" t="inlineStr">
        <is>
          <t>Ls</t>
        </is>
      </c>
      <c r="E28" s="11" t="n">
        <v>80000000</v>
      </c>
      <c r="F28" s="11">
        <f>C28*E28</f>
        <v/>
      </c>
      <c r="G28" s="12">
        <f>IF($G$6=0,"",F28/$G$6)</f>
        <v/>
      </c>
      <c r="H28" s="10" t="inlineStr"/>
      <c r="I28" s="10">
        <f>SUBSTITUTE($B$5,"/","-")&amp;"-III-"&amp;TEXT(A28,"000")</f>
        <v/>
      </c>
    </row>
    <row r="29">
      <c r="A29" s="13" t="n"/>
      <c r="B29" s="13" t="inlineStr">
        <is>
          <t>JUMLAH III — PEKERJAAN INTERIOR &amp; FINISHING</t>
        </is>
      </c>
      <c r="C29" s="13" t="n"/>
      <c r="D29" s="13" t="n"/>
      <c r="E29" s="14" t="n"/>
      <c r="F29" s="14">
        <f>SUM(F25:F28)</f>
        <v/>
      </c>
      <c r="G29" s="15">
        <f>SUM(G25:G28)</f>
        <v/>
      </c>
      <c r="H29" s="13" t="n"/>
      <c r="I29" s="13" t="n"/>
    </row>
    <row r="30">
      <c r="A30" s="16" t="n"/>
      <c r="B30" s="16" t="inlineStr">
        <is>
          <t>GRAND TOTAL</t>
        </is>
      </c>
      <c r="C30" s="16" t="n"/>
      <c r="D30" s="16" t="n"/>
      <c r="E30" s="17" t="n"/>
      <c r="F30" s="17">
        <f>SUM(F9:F29)</f>
        <v/>
      </c>
      <c r="G30" s="18">
        <f>SUM(G9:G29)</f>
        <v/>
      </c>
      <c r="H30" s="16" t="n"/>
      <c r="I30" s="16" t="n"/>
    </row>
    <row r="33">
      <c r="A33" s="19" t="inlineStr">
        <is>
          <t>Catatan: Jika menambah item, sisipkan baris di dalam section agar subtotal dan grand total otomatis ikut berubah. Kolom source_row_id boleh disembunyikan tapi jangan dihapus.</t>
        </is>
      </c>
    </row>
  </sheetData>
  <autoFilter ref="A8:I30"/>
  <mergeCells count="6">
    <mergeCell ref="B9:I9"/>
    <mergeCell ref="B18:I18"/>
    <mergeCell ref="A2:I2"/>
    <mergeCell ref="A33:I33"/>
    <mergeCell ref="B24:I24"/>
    <mergeCell ref="A1:I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28" customWidth="1" min="4" max="4"/>
    <col width="34" customWidth="1" min="5" max="5"/>
  </cols>
  <sheetData>
    <row r="1">
      <c r="A1" s="20" t="inlineStr">
        <is>
          <t>period_no</t>
        </is>
      </c>
      <c r="B1" s="20" t="inlineStr">
        <is>
          <t>period_date</t>
        </is>
      </c>
      <c r="C1" s="20" t="inlineStr">
        <is>
          <t>planned_percent_period</t>
        </is>
      </c>
      <c r="D1" s="20" t="inlineStr">
        <is>
          <t>planned_percent_cumulative</t>
        </is>
      </c>
      <c r="E1" s="20" t="inlineStr">
        <is>
          <t>notes</t>
        </is>
      </c>
    </row>
    <row r="2">
      <c r="A2" s="10" t="n">
        <v>1</v>
      </c>
      <c r="B2" s="21">
        <f>DATEVALUE(RAB!$G$5)+(1-1)*7</f>
        <v/>
      </c>
      <c r="C2" s="12" t="n">
        <v>0.02</v>
      </c>
      <c r="D2" s="12">
        <f>SUM($C$2:C2)</f>
        <v/>
      </c>
      <c r="E2" s="10" t="inlineStr">
        <is>
          <t>Target mingguan</t>
        </is>
      </c>
    </row>
    <row r="3">
      <c r="A3" s="10" t="n">
        <v>2</v>
      </c>
      <c r="B3" s="21">
        <f>DATEVALUE(RAB!$G$5)+(2-1)*7</f>
        <v/>
      </c>
      <c r="C3" s="12" t="n">
        <v>0.03</v>
      </c>
      <c r="D3" s="12">
        <f>SUM($C$2:C3)</f>
        <v/>
      </c>
      <c r="E3" s="10" t="inlineStr">
        <is>
          <t>Target mingguan</t>
        </is>
      </c>
    </row>
    <row r="4">
      <c r="A4" s="10" t="n">
        <v>3</v>
      </c>
      <c r="B4" s="21">
        <f>DATEVALUE(RAB!$G$5)+(3-1)*7</f>
        <v/>
      </c>
      <c r="C4" s="12" t="n">
        <v>0.05</v>
      </c>
      <c r="D4" s="12">
        <f>SUM($C$2:C4)</f>
        <v/>
      </c>
      <c r="E4" s="10" t="inlineStr">
        <is>
          <t>Target mingguan</t>
        </is>
      </c>
    </row>
    <row r="5">
      <c r="A5" s="10" t="n">
        <v>4</v>
      </c>
      <c r="B5" s="21">
        <f>DATEVALUE(RAB!$G$5)+(4-1)*7</f>
        <v/>
      </c>
      <c r="C5" s="12" t="n">
        <v>0.07000000000000001</v>
      </c>
      <c r="D5" s="12">
        <f>SUM($C$2:C5)</f>
        <v/>
      </c>
      <c r="E5" s="10" t="inlineStr">
        <is>
          <t>Target mingguan</t>
        </is>
      </c>
    </row>
    <row r="6">
      <c r="A6" s="10" t="n">
        <v>5</v>
      </c>
      <c r="B6" s="21">
        <f>DATEVALUE(RAB!$G$5)+(5-1)*7</f>
        <v/>
      </c>
      <c r="C6" s="12" t="n">
        <v>0.08</v>
      </c>
      <c r="D6" s="12">
        <f>SUM($C$2:C6)</f>
        <v/>
      </c>
      <c r="E6" s="10" t="inlineStr">
        <is>
          <t>Target mingguan</t>
        </is>
      </c>
    </row>
    <row r="7">
      <c r="A7" s="10" t="n">
        <v>6</v>
      </c>
      <c r="B7" s="21">
        <f>DATEVALUE(RAB!$G$5)+(6-1)*7</f>
        <v/>
      </c>
      <c r="C7" s="12" t="n">
        <v>0.09</v>
      </c>
      <c r="D7" s="12">
        <f>SUM($C$2:C7)</f>
        <v/>
      </c>
      <c r="E7" s="10" t="inlineStr">
        <is>
          <t>Target mingguan</t>
        </is>
      </c>
    </row>
    <row r="8">
      <c r="A8" s="10" t="n">
        <v>7</v>
      </c>
      <c r="B8" s="21">
        <f>DATEVALUE(RAB!$G$5)+(7-1)*7</f>
        <v/>
      </c>
      <c r="C8" s="12" t="n">
        <v>0.11</v>
      </c>
      <c r="D8" s="12">
        <f>SUM($C$2:C8)</f>
        <v/>
      </c>
      <c r="E8" s="10" t="inlineStr">
        <is>
          <t>Target mingguan</t>
        </is>
      </c>
    </row>
    <row r="9">
      <c r="A9" s="10" t="n">
        <v>8</v>
      </c>
      <c r="B9" s="21">
        <f>DATEVALUE(RAB!$G$5)+(8-1)*7</f>
        <v/>
      </c>
      <c r="C9" s="12" t="n">
        <v>0.12</v>
      </c>
      <c r="D9" s="12">
        <f>SUM($C$2:C9)</f>
        <v/>
      </c>
      <c r="E9" s="10" t="inlineStr">
        <is>
          <t>Target mingguan</t>
        </is>
      </c>
    </row>
    <row r="10">
      <c r="A10" s="10" t="n">
        <v>9</v>
      </c>
      <c r="B10" s="21">
        <f>DATEVALUE(RAB!$G$5)+(9-1)*7</f>
        <v/>
      </c>
      <c r="C10" s="12" t="n">
        <v>0.12</v>
      </c>
      <c r="D10" s="12">
        <f>SUM($C$2:C10)</f>
        <v/>
      </c>
      <c r="E10" s="10" t="inlineStr">
        <is>
          <t>Target mingguan</t>
        </is>
      </c>
    </row>
    <row r="11">
      <c r="A11" s="10" t="n">
        <v>10</v>
      </c>
      <c r="B11" s="21">
        <f>DATEVALUE(RAB!$G$5)+(10-1)*7</f>
        <v/>
      </c>
      <c r="C11" s="12" t="n">
        <v>0.1</v>
      </c>
      <c r="D11" s="12">
        <f>SUM($C$2:C11)</f>
        <v/>
      </c>
      <c r="E11" s="10" t="inlineStr">
        <is>
          <t>Target mingguan</t>
        </is>
      </c>
    </row>
    <row r="12">
      <c r="A12" s="10" t="n">
        <v>11</v>
      </c>
      <c r="B12" s="21">
        <f>DATEVALUE(RAB!$G$5)+(11-1)*7</f>
        <v/>
      </c>
      <c r="C12" s="12" t="n">
        <v>0.08</v>
      </c>
      <c r="D12" s="12">
        <f>SUM($C$2:C12)</f>
        <v/>
      </c>
      <c r="E12" s="10" t="inlineStr">
        <is>
          <t>Target mingguan</t>
        </is>
      </c>
    </row>
    <row r="13">
      <c r="A13" s="10" t="n">
        <v>12</v>
      </c>
      <c r="B13" s="21">
        <f>DATEVALUE(RAB!$G$5)+(12-1)*7</f>
        <v/>
      </c>
      <c r="C13" s="12" t="n">
        <v>0.06</v>
      </c>
      <c r="D13" s="12">
        <f>SUM($C$2:C13)</f>
        <v/>
      </c>
      <c r="E13" s="10" t="inlineStr">
        <is>
          <t>Target mingguan</t>
        </is>
      </c>
    </row>
    <row r="14">
      <c r="A14" s="10" t="n">
        <v>13</v>
      </c>
      <c r="B14" s="21">
        <f>DATEVALUE(RAB!$G$5)+(13-1)*7</f>
        <v/>
      </c>
      <c r="C14" s="12" t="n">
        <v>0.04</v>
      </c>
      <c r="D14" s="12">
        <f>SUM($C$2:C14)</f>
        <v/>
      </c>
      <c r="E14" s="10" t="inlineStr">
        <is>
          <t>Target mingguan</t>
        </is>
      </c>
    </row>
    <row r="15">
      <c r="A15" s="10" t="n">
        <v>14</v>
      </c>
      <c r="B15" s="21">
        <f>DATEVALUE(RAB!$G$5)+(14-1)*7</f>
        <v/>
      </c>
      <c r="C15" s="12" t="n">
        <v>0.03</v>
      </c>
      <c r="D15" s="12">
        <f>SUM($C$2:C15)</f>
        <v/>
      </c>
      <c r="E15" s="10" t="inlineStr">
        <is>
          <t>Target mingguan</t>
        </is>
      </c>
    </row>
    <row r="16">
      <c r="A16" s="10">
        <f>IF(B16="","",ROW()-1)</f>
        <v/>
      </c>
      <c r="B16" s="21" t="inlineStr"/>
      <c r="C16" s="12" t="inlineStr"/>
      <c r="D16" s="12">
        <f>IF(C16="","",SUM($C$2:C16))</f>
        <v/>
      </c>
      <c r="E16" s="10" t="inlineStr"/>
    </row>
    <row r="17">
      <c r="A17" s="10">
        <f>IF(B17="","",ROW()-1)</f>
        <v/>
      </c>
      <c r="B17" s="21" t="inlineStr"/>
      <c r="C17" s="12" t="inlineStr"/>
      <c r="D17" s="12">
        <f>IF(C17="","",SUM($C$2:C17))</f>
        <v/>
      </c>
      <c r="E17" s="10" t="inlineStr"/>
    </row>
    <row r="18">
      <c r="A18" s="10">
        <f>IF(B18="","",ROW()-1)</f>
        <v/>
      </c>
      <c r="B18" s="21" t="inlineStr"/>
      <c r="C18" s="12" t="inlineStr"/>
      <c r="D18" s="12">
        <f>IF(C18="","",SUM($C$2:C18))</f>
        <v/>
      </c>
      <c r="E18" s="10" t="inlineStr"/>
    </row>
    <row r="19">
      <c r="A19" s="10">
        <f>IF(B19="","",ROW()-1)</f>
        <v/>
      </c>
      <c r="B19" s="21" t="inlineStr"/>
      <c r="C19" s="12" t="inlineStr"/>
      <c r="D19" s="12">
        <f>IF(C19="","",SUM($C$2:C19))</f>
        <v/>
      </c>
      <c r="E19" s="10" t="inlineStr"/>
    </row>
    <row r="20">
      <c r="A20" s="10">
        <f>IF(B20="","",ROW()-1)</f>
        <v/>
      </c>
      <c r="B20" s="21" t="inlineStr"/>
      <c r="C20" s="12" t="inlineStr"/>
      <c r="D20" s="12">
        <f>IF(C20="","",SUM($C$2:C20))</f>
        <v/>
      </c>
      <c r="E20" s="10" t="inlineStr"/>
    </row>
    <row r="21">
      <c r="A21" s="10">
        <f>IF(B21="","",ROW()-1)</f>
        <v/>
      </c>
      <c r="B21" s="21" t="inlineStr"/>
      <c r="C21" s="12" t="inlineStr"/>
      <c r="D21" s="12">
        <f>IF(C21="","",SUM($C$2:C21))</f>
        <v/>
      </c>
      <c r="E21" s="10" t="inlineStr"/>
    </row>
    <row r="22">
      <c r="A22" s="10">
        <f>IF(B22="","",ROW()-1)</f>
        <v/>
      </c>
      <c r="B22" s="21" t="inlineStr"/>
      <c r="C22" s="12" t="inlineStr"/>
      <c r="D22" s="12">
        <f>IF(C22="","",SUM($C$2:C22))</f>
        <v/>
      </c>
      <c r="E22" s="10" t="inlineStr"/>
    </row>
    <row r="23">
      <c r="A23" s="10">
        <f>IF(B23="","",ROW()-1)</f>
        <v/>
      </c>
      <c r="B23" s="21" t="inlineStr"/>
      <c r="C23" s="12" t="inlineStr"/>
      <c r="D23" s="12">
        <f>IF(C23="","",SUM($C$2:C23))</f>
        <v/>
      </c>
      <c r="E23" s="10" t="inlineStr"/>
    </row>
    <row r="24">
      <c r="A24" s="10">
        <f>IF(B24="","",ROW()-1)</f>
        <v/>
      </c>
      <c r="B24" s="21" t="inlineStr"/>
      <c r="C24" s="12" t="inlineStr"/>
      <c r="D24" s="12">
        <f>IF(C24="","",SUM($C$2:C24))</f>
        <v/>
      </c>
      <c r="E24" s="10" t="inlineStr"/>
    </row>
    <row r="25">
      <c r="A25" s="10">
        <f>IF(B25="","",ROW()-1)</f>
        <v/>
      </c>
      <c r="B25" s="21" t="inlineStr"/>
      <c r="C25" s="12" t="inlineStr"/>
      <c r="D25" s="12">
        <f>IF(C25="","",SUM($C$2:C25))</f>
        <v/>
      </c>
      <c r="E25" s="10" t="inlineStr"/>
    </row>
    <row r="26">
      <c r="A26" s="10">
        <f>IF(B26="","",ROW()-1)</f>
        <v/>
      </c>
      <c r="B26" s="21" t="inlineStr"/>
      <c r="C26" s="12" t="inlineStr"/>
      <c r="D26" s="12">
        <f>IF(C26="","",SUM($C$2:C26))</f>
        <v/>
      </c>
      <c r="E26" s="10" t="inlineStr"/>
    </row>
    <row r="27">
      <c r="A27" s="10">
        <f>IF(B27="","",ROW()-1)</f>
        <v/>
      </c>
      <c r="B27" s="21" t="inlineStr"/>
      <c r="C27" s="12" t="inlineStr"/>
      <c r="D27" s="12">
        <f>IF(C27="","",SUM($C$2:C27))</f>
        <v/>
      </c>
      <c r="E27" s="10" t="inlineStr"/>
    </row>
    <row r="28">
      <c r="A28" s="10">
        <f>IF(B28="","",ROW()-1)</f>
        <v/>
      </c>
      <c r="B28" s="21" t="inlineStr"/>
      <c r="C28" s="12" t="inlineStr"/>
      <c r="D28" s="12">
        <f>IF(C28="","",SUM($C$2:C28))</f>
        <v/>
      </c>
      <c r="E28" s="10" t="inlineStr"/>
    </row>
    <row r="29">
      <c r="A29" s="10">
        <f>IF(B29="","",ROW()-1)</f>
        <v/>
      </c>
      <c r="B29" s="21" t="inlineStr"/>
      <c r="C29" s="12" t="inlineStr"/>
      <c r="D29" s="12">
        <f>IF(C29="","",SUM($C$2:C29))</f>
        <v/>
      </c>
      <c r="E29" s="10" t="inlineStr"/>
    </row>
    <row r="30">
      <c r="A30" s="10">
        <f>IF(B30="","",ROW()-1)</f>
        <v/>
      </c>
      <c r="B30" s="21" t="inlineStr"/>
      <c r="C30" s="12" t="inlineStr"/>
      <c r="D30" s="12">
        <f>IF(C30="","",SUM($C$2:C30))</f>
        <v/>
      </c>
      <c r="E30" s="10" t="inlineStr"/>
    </row>
    <row r="31">
      <c r="A31" s="10">
        <f>IF(B31="","",ROW()-1)</f>
        <v/>
      </c>
      <c r="B31" s="21" t="inlineStr"/>
      <c r="C31" s="12" t="inlineStr"/>
      <c r="D31" s="12">
        <f>IF(C31="","",SUM($C$2:C31))</f>
        <v/>
      </c>
      <c r="E31" s="10" t="inlineStr"/>
    </row>
    <row r="32">
      <c r="A32" s="10">
        <f>IF(B32="","",ROW()-1)</f>
        <v/>
      </c>
      <c r="B32" s="21" t="inlineStr"/>
      <c r="C32" s="12" t="inlineStr"/>
      <c r="D32" s="12">
        <f>IF(C32="","",SUM($C$2:C32))</f>
        <v/>
      </c>
      <c r="E32" s="10" t="inlineStr"/>
    </row>
    <row r="33">
      <c r="A33" s="10">
        <f>IF(B33="","",ROW()-1)</f>
        <v/>
      </c>
      <c r="B33" s="21" t="inlineStr"/>
      <c r="C33" s="12" t="inlineStr"/>
      <c r="D33" s="12">
        <f>IF(C33="","",SUM($C$2:C33))</f>
        <v/>
      </c>
      <c r="E33" s="10" t="inlineStr"/>
    </row>
    <row r="34">
      <c r="A34" s="10">
        <f>IF(B34="","",ROW()-1)</f>
        <v/>
      </c>
      <c r="B34" s="21" t="inlineStr"/>
      <c r="C34" s="12" t="inlineStr"/>
      <c r="D34" s="12">
        <f>IF(C34="","",SUM($C$2:C34))</f>
        <v/>
      </c>
      <c r="E34" s="10" t="inlineStr"/>
    </row>
    <row r="35">
      <c r="A35" s="10">
        <f>IF(B35="","",ROW()-1)</f>
        <v/>
      </c>
      <c r="B35" s="21" t="inlineStr"/>
      <c r="C35" s="12" t="inlineStr"/>
      <c r="D35" s="12">
        <f>IF(C35="","",SUM($C$2:C35))</f>
        <v/>
      </c>
      <c r="E35" s="10" t="inlineStr"/>
    </row>
    <row r="36">
      <c r="A36" s="10">
        <f>IF(B36="","",ROW()-1)</f>
        <v/>
      </c>
      <c r="B36" s="21" t="inlineStr"/>
      <c r="C36" s="12" t="inlineStr"/>
      <c r="D36" s="12">
        <f>IF(C36="","",SUM($C$2:C36))</f>
        <v/>
      </c>
      <c r="E36" s="10" t="inlineStr"/>
    </row>
    <row r="37">
      <c r="A37" s="10">
        <f>IF(B37="","",ROW()-1)</f>
        <v/>
      </c>
      <c r="B37" s="21" t="inlineStr"/>
      <c r="C37" s="12" t="inlineStr"/>
      <c r="D37" s="12">
        <f>IF(C37="","",SUM($C$2:C37))</f>
        <v/>
      </c>
      <c r="E37" s="10" t="inlineStr"/>
    </row>
    <row r="38">
      <c r="A38" s="10">
        <f>IF(B38="","",ROW()-1)</f>
        <v/>
      </c>
      <c r="B38" s="21" t="inlineStr"/>
      <c r="C38" s="12" t="inlineStr"/>
      <c r="D38" s="12">
        <f>IF(C38="","",SUM($C$2:C38))</f>
        <v/>
      </c>
      <c r="E38" s="10" t="inlineStr"/>
    </row>
    <row r="39">
      <c r="A39" s="10">
        <f>IF(B39="","",ROW()-1)</f>
        <v/>
      </c>
      <c r="B39" s="21" t="inlineStr"/>
      <c r="C39" s="12" t="inlineStr"/>
      <c r="D39" s="12">
        <f>IF(C39="","",SUM($C$2:C39))</f>
        <v/>
      </c>
      <c r="E39" s="10" t="inlineStr"/>
    </row>
    <row r="40">
      <c r="A40" s="10">
        <f>IF(B40="","",ROW()-1)</f>
        <v/>
      </c>
      <c r="B40" s="21" t="inlineStr"/>
      <c r="C40" s="12" t="inlineStr"/>
      <c r="D40" s="12">
        <f>IF(C40="","",SUM($C$2:C40))</f>
        <v/>
      </c>
      <c r="E40" s="10" t="inlineStr"/>
    </row>
    <row r="41">
      <c r="A41" s="10">
        <f>IF(B41="","",ROW()-1)</f>
        <v/>
      </c>
      <c r="B41" s="21" t="inlineStr"/>
      <c r="C41" s="12" t="inlineStr"/>
      <c r="D41" s="12">
        <f>IF(C41="","",SUM($C$2:C41))</f>
        <v/>
      </c>
      <c r="E41" s="10" t="inlineStr"/>
    </row>
    <row r="42">
      <c r="A42" s="10">
        <f>IF(B42="","",ROW()-1)</f>
        <v/>
      </c>
      <c r="B42" s="21" t="inlineStr"/>
      <c r="C42" s="12" t="inlineStr"/>
      <c r="D42" s="12">
        <f>IF(C42="","",SUM($C$2:C42))</f>
        <v/>
      </c>
      <c r="E42" s="10" t="inlineStr"/>
    </row>
    <row r="43">
      <c r="A43" s="10">
        <f>IF(B43="","",ROW()-1)</f>
        <v/>
      </c>
      <c r="B43" s="21" t="inlineStr"/>
      <c r="C43" s="12" t="inlineStr"/>
      <c r="D43" s="12">
        <f>IF(C43="","",SUM($C$2:C43))</f>
        <v/>
      </c>
      <c r="E43" s="10" t="inlineStr"/>
    </row>
    <row r="44">
      <c r="A44" s="10">
        <f>IF(B44="","",ROW()-1)</f>
        <v/>
      </c>
      <c r="B44" s="21" t="inlineStr"/>
      <c r="C44" s="12" t="inlineStr"/>
      <c r="D44" s="12">
        <f>IF(C44="","",SUM($C$2:C44))</f>
        <v/>
      </c>
      <c r="E44" s="10" t="inlineStr"/>
    </row>
    <row r="45">
      <c r="A45" s="10">
        <f>IF(B45="","",ROW()-1)</f>
        <v/>
      </c>
      <c r="B45" s="21" t="inlineStr"/>
      <c r="C45" s="12" t="inlineStr"/>
      <c r="D45" s="12">
        <f>IF(C45="","",SUM($C$2:C45))</f>
        <v/>
      </c>
      <c r="E45" s="10" t="inlineStr"/>
    </row>
    <row r="46">
      <c r="A46" s="10">
        <f>IF(B46="","",ROW()-1)</f>
        <v/>
      </c>
      <c r="B46" s="21" t="inlineStr"/>
      <c r="C46" s="12" t="inlineStr"/>
      <c r="D46" s="12">
        <f>IF(C46="","",SUM($C$2:C46))</f>
        <v/>
      </c>
      <c r="E46" s="10" t="inlineStr"/>
    </row>
    <row r="47">
      <c r="A47" s="10">
        <f>IF(B47="","",ROW()-1)</f>
        <v/>
      </c>
      <c r="B47" s="21" t="inlineStr"/>
      <c r="C47" s="12" t="inlineStr"/>
      <c r="D47" s="12">
        <f>IF(C47="","",SUM($C$2:C47))</f>
        <v/>
      </c>
      <c r="E47" s="10" t="inlineStr"/>
    </row>
    <row r="48">
      <c r="A48" s="10">
        <f>IF(B48="","",ROW()-1)</f>
        <v/>
      </c>
      <c r="B48" s="21" t="inlineStr"/>
      <c r="C48" s="12" t="inlineStr"/>
      <c r="D48" s="12">
        <f>IF(C48="","",SUM($C$2:C48))</f>
        <v/>
      </c>
      <c r="E48" s="10" t="inlineStr"/>
    </row>
    <row r="49">
      <c r="A49" s="10">
        <f>IF(B49="","",ROW()-1)</f>
        <v/>
      </c>
      <c r="B49" s="21" t="inlineStr"/>
      <c r="C49" s="12" t="inlineStr"/>
      <c r="D49" s="12">
        <f>IF(C49="","",SUM($C$2:C49))</f>
        <v/>
      </c>
      <c r="E49" s="10" t="inlineStr"/>
    </row>
    <row r="50">
      <c r="A50" s="10">
        <f>IF(B50="","",ROW()-1)</f>
        <v/>
      </c>
      <c r="B50" s="21" t="inlineStr"/>
      <c r="C50" s="12" t="inlineStr"/>
      <c r="D50" s="12">
        <f>IF(C50="","",SUM($C$2:C50))</f>
        <v/>
      </c>
      <c r="E50" s="10" t="inlineStr"/>
    </row>
    <row r="51">
      <c r="A51" s="10">
        <f>IF(B51="","",ROW()-1)</f>
        <v/>
      </c>
      <c r="B51" s="21" t="inlineStr"/>
      <c r="C51" s="12" t="inlineStr"/>
      <c r="D51" s="12">
        <f>IF(C51="","",SUM($C$2:C51))</f>
        <v/>
      </c>
      <c r="E51" s="10" t="inlineStr"/>
    </row>
    <row r="52">
      <c r="A52" s="10">
        <f>IF(B52="","",ROW()-1)</f>
        <v/>
      </c>
      <c r="B52" s="21" t="inlineStr"/>
      <c r="C52" s="12" t="inlineStr"/>
      <c r="D52" s="12">
        <f>IF(C52="","",SUM($C$2:C52))</f>
        <v/>
      </c>
      <c r="E52" s="10" t="inlineStr"/>
    </row>
    <row r="53">
      <c r="A53" s="10">
        <f>IF(B53="","",ROW()-1)</f>
        <v/>
      </c>
      <c r="B53" s="21" t="inlineStr"/>
      <c r="C53" s="12" t="inlineStr"/>
      <c r="D53" s="12">
        <f>IF(C53="","",SUM($C$2:C53))</f>
        <v/>
      </c>
      <c r="E53" s="10" t="inlineStr"/>
    </row>
    <row r="54">
      <c r="A54" s="10">
        <f>IF(B54="","",ROW()-1)</f>
        <v/>
      </c>
      <c r="B54" s="21" t="inlineStr"/>
      <c r="C54" s="12" t="inlineStr"/>
      <c r="D54" s="12">
        <f>IF(C54="","",SUM($C$2:C54))</f>
        <v/>
      </c>
      <c r="E54" s="10" t="inlineStr"/>
    </row>
    <row r="55">
      <c r="A55" s="10">
        <f>IF(B55="","",ROW()-1)</f>
        <v/>
      </c>
      <c r="B55" s="21" t="inlineStr"/>
      <c r="C55" s="12" t="inlineStr"/>
      <c r="D55" s="12">
        <f>IF(C55="","",SUM($C$2:C55))</f>
        <v/>
      </c>
      <c r="E55" s="10" t="inlineStr"/>
    </row>
    <row r="56">
      <c r="A56" s="10">
        <f>IF(B56="","",ROW()-1)</f>
        <v/>
      </c>
      <c r="B56" s="21" t="inlineStr"/>
      <c r="C56" s="12" t="inlineStr"/>
      <c r="D56" s="12">
        <f>IF(C56="","",SUM($C$2:C56))</f>
        <v/>
      </c>
      <c r="E56" s="10" t="inlineStr"/>
    </row>
    <row r="57">
      <c r="A57" s="10">
        <f>IF(B57="","",ROW()-1)</f>
        <v/>
      </c>
      <c r="B57" s="21" t="inlineStr"/>
      <c r="C57" s="12" t="inlineStr"/>
      <c r="D57" s="12">
        <f>IF(C57="","",SUM($C$2:C57))</f>
        <v/>
      </c>
      <c r="E57" s="10" t="inlineStr"/>
    </row>
    <row r="58">
      <c r="A58" s="10">
        <f>IF(B58="","",ROW()-1)</f>
        <v/>
      </c>
      <c r="B58" s="21" t="inlineStr"/>
      <c r="C58" s="12" t="inlineStr"/>
      <c r="D58" s="12">
        <f>IF(C58="","",SUM($C$2:C58))</f>
        <v/>
      </c>
      <c r="E58" s="10" t="inlineStr"/>
    </row>
    <row r="59">
      <c r="A59" s="10">
        <f>IF(B59="","",ROW()-1)</f>
        <v/>
      </c>
      <c r="B59" s="21" t="inlineStr"/>
      <c r="C59" s="12" t="inlineStr"/>
      <c r="D59" s="12">
        <f>IF(C59="","",SUM($C$2:C59))</f>
        <v/>
      </c>
      <c r="E59" s="10" t="inlineStr"/>
    </row>
    <row r="60">
      <c r="A60" s="10">
        <f>IF(B60="","",ROW()-1)</f>
        <v/>
      </c>
      <c r="B60" s="21" t="inlineStr"/>
      <c r="C60" s="12" t="inlineStr"/>
      <c r="D60" s="12">
        <f>IF(C60="","",SUM($C$2:C60))</f>
        <v/>
      </c>
      <c r="E60" s="10" t="inlineStr"/>
    </row>
    <row r="61">
      <c r="A61" s="10">
        <f>IF(B61="","",ROW()-1)</f>
        <v/>
      </c>
      <c r="B61" s="21" t="inlineStr"/>
      <c r="C61" s="12" t="inlineStr"/>
      <c r="D61" s="12">
        <f>IF(C61="","",SUM($C$2:C61))</f>
        <v/>
      </c>
      <c r="E61" s="10" t="inlineStr"/>
    </row>
    <row r="62">
      <c r="A62" s="10">
        <f>IF(B62="","",ROW()-1)</f>
        <v/>
      </c>
      <c r="B62" s="21" t="inlineStr"/>
      <c r="C62" s="12" t="inlineStr"/>
      <c r="D62" s="12">
        <f>IF(C62="","",SUM($C$2:C62))</f>
        <v/>
      </c>
      <c r="E62" s="10" t="inlineStr"/>
    </row>
    <row r="63">
      <c r="A63" s="10">
        <f>IF(B63="","",ROW()-1)</f>
        <v/>
      </c>
      <c r="B63" s="21" t="inlineStr"/>
      <c r="C63" s="12" t="inlineStr"/>
      <c r="D63" s="12">
        <f>IF(C63="","",SUM($C$2:C63))</f>
        <v/>
      </c>
      <c r="E63" s="10" t="inlineStr"/>
    </row>
    <row r="64">
      <c r="A64" s="10">
        <f>IF(B64="","",ROW()-1)</f>
        <v/>
      </c>
      <c r="B64" s="21" t="inlineStr"/>
      <c r="C64" s="12" t="inlineStr"/>
      <c r="D64" s="12">
        <f>IF(C64="","",SUM($C$2:C64))</f>
        <v/>
      </c>
      <c r="E64" s="10" t="inlineStr"/>
    </row>
    <row r="65">
      <c r="A65" s="10">
        <f>IF(B65="","",ROW()-1)</f>
        <v/>
      </c>
      <c r="B65" s="21" t="inlineStr"/>
      <c r="C65" s="12" t="inlineStr"/>
      <c r="D65" s="12">
        <f>IF(C65="","",SUM($C$2:C65))</f>
        <v/>
      </c>
      <c r="E65" s="10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64" customWidth="1" min="3" max="3"/>
  </cols>
  <sheetData>
    <row r="1">
      <c r="A1" s="22" t="inlineStr">
        <is>
          <t>SUMBER TEMPLATE</t>
        </is>
      </c>
      <c r="B1" s="22" t="inlineStr">
        <is>
          <t>TARGET SUPABASE</t>
        </is>
      </c>
      <c r="C1" s="22" t="inlineStr">
        <is>
          <t>CATATAN</t>
        </is>
      </c>
    </row>
    <row r="2">
      <c r="A2" s="10" t="inlineStr">
        <is>
          <t>RAB!B4</t>
        </is>
      </c>
      <c r="B2" s="10" t="inlineStr">
        <is>
          <t>projects.nama_proyek / projects.name</t>
        </is>
      </c>
      <c r="C2" s="10" t="inlineStr">
        <is>
          <t>Nama proyek</t>
        </is>
      </c>
    </row>
    <row r="3">
      <c r="A3" s="10" t="inlineStr">
        <is>
          <t>RAB!B5</t>
        </is>
      </c>
      <c r="B3" s="10" t="inlineStr">
        <is>
          <t>projects.no_spi</t>
        </is>
      </c>
      <c r="C3" s="10" t="inlineStr">
        <is>
          <t>No SPI</t>
        </is>
      </c>
    </row>
    <row r="4">
      <c r="A4" s="10" t="inlineStr">
        <is>
          <t>RAB!G4</t>
        </is>
      </c>
      <c r="B4" s="10" t="inlineStr">
        <is>
          <t>projects.wilayah + projects.project_area</t>
        </is>
      </c>
      <c r="C4" s="10" t="inlineStr">
        <is>
          <t>Format bebas, contoh BARAT / BARTEN 1</t>
        </is>
      </c>
    </row>
    <row r="5">
      <c r="A5" s="10" t="inlineStr">
        <is>
          <t>RAB!G5</t>
        </is>
      </c>
      <c r="B5" s="10" t="inlineStr">
        <is>
          <t>rab_uploads.created_at atau tanggal dokumen</t>
        </is>
      </c>
      <c r="C5" s="10" t="inlineStr">
        <is>
          <t>Tanggal RAB</t>
        </is>
      </c>
    </row>
    <row r="6">
      <c r="A6" s="10" t="inlineStr">
        <is>
          <t>RAB!B6</t>
        </is>
      </c>
      <c r="B6" s="10" t="inlineStr">
        <is>
          <t>projects.kode</t>
        </is>
      </c>
      <c r="C6" s="10" t="inlineStr">
        <is>
          <t>Kode Project</t>
        </is>
      </c>
    </row>
    <row r="7">
      <c r="A7" s="10" t="inlineStr">
        <is>
          <t>RAB!G6</t>
        </is>
      </c>
      <c r="B7" s="10" t="inlineStr">
        <is>
          <t>projects.nilai_kontrak / contract_value</t>
        </is>
      </c>
      <c r="C7" s="10" t="inlineStr">
        <is>
          <t>Nilai kontrak</t>
        </is>
      </c>
    </row>
    <row r="8">
      <c r="A8" s="10" t="inlineStr">
        <is>
          <t>Section row A/B</t>
        </is>
      </c>
      <c r="B8" s="10" t="inlineStr">
        <is>
          <t>boq_items.section_code / section_name</t>
        </is>
      </c>
      <c r="C8" s="10" t="inlineStr">
        <is>
          <t>I / PEKERJAAN SIPIL</t>
        </is>
      </c>
    </row>
    <row r="9">
      <c r="A9" s="10" t="inlineStr">
        <is>
          <t>Item No</t>
        </is>
      </c>
      <c r="B9" s="10" t="inlineStr">
        <is>
          <t>boq_items.code</t>
        </is>
      </c>
      <c r="C9" s="10" t="inlineStr">
        <is>
          <t>Nomor item</t>
        </is>
      </c>
    </row>
    <row r="10">
      <c r="A10" s="10" t="inlineStr">
        <is>
          <t>Uraian Pekerjaan</t>
        </is>
      </c>
      <c r="B10" s="10" t="inlineStr">
        <is>
          <t>boq_items.description</t>
        </is>
      </c>
      <c r="C10" s="10" t="inlineStr">
        <is>
          <t>Uraian item</t>
        </is>
      </c>
    </row>
    <row r="11">
      <c r="A11" s="10" t="inlineStr">
        <is>
          <t>Volume</t>
        </is>
      </c>
      <c r="B11" s="10" t="inlineStr">
        <is>
          <t>boq_items.volume</t>
        </is>
      </c>
      <c r="C11" s="10" t="inlineStr">
        <is>
          <t>Volume</t>
        </is>
      </c>
    </row>
    <row r="12">
      <c r="A12" s="10" t="inlineStr">
        <is>
          <t>Satuan</t>
        </is>
      </c>
      <c r="B12" s="10" t="inlineStr">
        <is>
          <t>boq_items.unit</t>
        </is>
      </c>
      <c r="C12" s="10" t="inlineStr">
        <is>
          <t>Satuan</t>
        </is>
      </c>
    </row>
    <row r="13">
      <c r="A13" s="10" t="inlineStr">
        <is>
          <t>Harga Satuan</t>
        </is>
      </c>
      <c r="B13" s="10" t="inlineStr">
        <is>
          <t>boq_items.unit_price</t>
        </is>
      </c>
      <c r="C13" s="10" t="inlineStr">
        <is>
          <t>Harga satuan</t>
        </is>
      </c>
    </row>
    <row r="14">
      <c r="A14" s="10" t="inlineStr">
        <is>
          <t>Jumlah Harga</t>
        </is>
      </c>
      <c r="B14" s="10" t="inlineStr">
        <is>
          <t>boq_items.total_price</t>
        </is>
      </c>
      <c r="C14" s="10" t="inlineStr">
        <is>
          <t>Jumlah harga</t>
        </is>
      </c>
    </row>
    <row r="15">
      <c r="A15" s="10" t="inlineStr">
        <is>
          <t>Bobot (%)</t>
        </is>
      </c>
      <c r="B15" s="10" t="inlineStr">
        <is>
          <t>boq_items.weight_percent</t>
        </is>
      </c>
      <c r="C15" s="10" t="inlineStr">
        <is>
          <t>Saat import: persen Excel x 100 jika nilainya 0-1</t>
        </is>
      </c>
    </row>
    <row r="16">
      <c r="A16" s="10" t="inlineStr">
        <is>
          <t>Keterangan</t>
        </is>
      </c>
      <c r="B16" s="10" t="inlineStr">
        <is>
          <t>boq_items.notes</t>
        </is>
      </c>
      <c r="C16" s="10" t="inlineStr">
        <is>
          <t>Catatan</t>
        </is>
      </c>
    </row>
    <row r="17">
      <c r="A17" s="10" t="inlineStr">
        <is>
          <t>source_row_id</t>
        </is>
      </c>
      <c r="B17" s="10" t="inlineStr">
        <is>
          <t>boq_items.source_row_id</t>
        </is>
      </c>
      <c r="C17" s="10" t="inlineStr">
        <is>
          <t>ID unik item</t>
        </is>
      </c>
    </row>
    <row r="18">
      <c r="A18" s="10" t="inlineStr">
        <is>
          <t>TARGET period_date</t>
        </is>
      </c>
      <c r="B18" s="10" t="inlineStr">
        <is>
          <t>progress_targets.period_date</t>
        </is>
      </c>
      <c r="C18" s="10" t="inlineStr">
        <is>
          <t>Tanggal periode</t>
        </is>
      </c>
    </row>
    <row r="19">
      <c r="A19" s="10" t="inlineStr">
        <is>
          <t>TARGET planned_percent_cumulative</t>
        </is>
      </c>
      <c r="B19" s="10" t="inlineStr">
        <is>
          <t>progress_targets.planned_percent</t>
        </is>
      </c>
      <c r="C19" s="10" t="inlineStr">
        <is>
          <t>Saat import: persen Excel x 100 jika nilainya 0-1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22" t="inlineStr">
        <is>
          <t>LANGKAH</t>
        </is>
      </c>
      <c r="B1" s="22" t="inlineStr">
        <is>
          <t>PENJELASAN</t>
        </is>
      </c>
    </row>
    <row r="2">
      <c r="A2" s="10" t="inlineStr">
        <is>
          <t>1. Isi metadata</t>
        </is>
      </c>
      <c r="B2" s="10" t="inlineStr">
        <is>
          <t>Isi Nama Proyek, No SPI, Area/Wilayah, Tanggal RAB, Kode Project, dan Nilai Kontrak di bagian atas sheet RAB.</t>
        </is>
      </c>
    </row>
    <row r="3">
      <c r="A3" s="10" t="inlineStr">
        <is>
          <t>2. Isi section</t>
        </is>
      </c>
      <c r="B3" s="10" t="inlineStr">
        <is>
          <t>Gunakan baris section seperti I PEKERJAAN SIPIL, II PEKERJAAN MEKANIKAL &amp; ELEKTRIKAL, III PEKERJAAN INTERIOR &amp; FINISHING.</t>
        </is>
      </c>
    </row>
    <row r="4">
      <c r="A4" s="10" t="inlineStr">
        <is>
          <t>3. Isi item RAB</t>
        </is>
      </c>
      <c r="B4" s="10" t="inlineStr">
        <is>
          <t>Isi No, Uraian, Volume, Satuan, Harga Satuan. Jumlah Harga dan Bobot akan otomatis.</t>
        </is>
      </c>
    </row>
    <row r="5">
      <c r="A5" s="10" t="inlineStr">
        <is>
          <t>4. Tambah item</t>
        </is>
      </c>
      <c r="B5" s="10" t="inlineStr">
        <is>
          <t>Sisipkan baris di dalam section, jangan di bawah GRAND TOTAL. Copy formula dari baris di atas.</t>
        </is>
      </c>
    </row>
    <row r="6">
      <c r="A6" s="10" t="inlineStr">
        <is>
          <t>5. Target Kurva S</t>
        </is>
      </c>
      <c r="B6" s="10" t="inlineStr">
        <is>
          <t>Isi sheet TARGET_KURVA_S untuk rencana progress mingguan/bulanan. planned_percent_cumulative digunakan sebagai baseline.</t>
        </is>
      </c>
    </row>
    <row r="7">
      <c r="A7" s="10" t="inlineStr">
        <is>
          <t>6. Upload</t>
        </is>
      </c>
      <c r="B7" s="10" t="inlineStr">
        <is>
          <t>Upload Excel ini di aplikasi pada project yang sesuai. PDF hanya arsip, Excel ini dipakai untuk import otomatis.</t>
        </is>
      </c>
    </row>
    <row r="8">
      <c r="A8" s="10" t="inlineStr">
        <is>
          <t>7. Upsert aman</t>
        </is>
      </c>
      <c r="B8" s="10" t="inlineStr">
        <is>
          <t>Kolom source_row_id wajib unik dan stabil supaya upload ulang mengupdate item yang sama, bukan membuat duplikat.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2026-06-11T09:48:42Z</dcterms:created>
  <dcterms:modified xmlns:dcterms="http://purl.org/dc/terms/" xmlns:xsi="http://www.w3.org/2001/XMLSchema-instance" xsi:type="dcterms:W3CDTF">2026-06-11T09:48:42Z</dcterms:modified>
</cp:coreProperties>
</file>